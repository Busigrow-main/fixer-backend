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bookViews>
    <workbookView xWindow="0" yWindow="0" windowWidth="20490" windowHeight="7155"/>
  </bookViews>
  <sheets>
    <sheet name="Inventory list" sheetId="1" r:id="rId1"/>
  </sheets>
  <definedNames>
    <definedName name="_xlnm.Print_Titles" localSheetId="0">'Inventory list'!$3:$5</definedName>
    <definedName name="valHighlight">IFERROR(IF('Inventory list'!#REF!="Yes", TRUE, FALSE),FALSE)</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374" i="1" l="1"/>
  <c r="G683" i="1" l="1"/>
  <c r="G653" i="1"/>
  <c r="G773" i="1"/>
  <c r="G767" i="1"/>
  <c r="G768" i="1"/>
  <c r="G769" i="1"/>
  <c r="G770" i="1"/>
  <c r="G774" i="1"/>
  <c r="G775" i="1"/>
  <c r="G776" i="1"/>
  <c r="G777" i="1"/>
  <c r="G778" i="1"/>
  <c r="G779" i="1"/>
  <c r="G782" i="1"/>
  <c r="G783" i="1"/>
  <c r="G784" i="1"/>
  <c r="G785" i="1"/>
  <c r="G786" i="1"/>
  <c r="G787" i="1"/>
  <c r="G788" i="1"/>
  <c r="G789" i="1"/>
  <c r="G790" i="1"/>
  <c r="G791" i="1"/>
  <c r="G794" i="1"/>
  <c r="G795" i="1"/>
  <c r="G796" i="1"/>
  <c r="G797" i="1"/>
  <c r="G798" i="1"/>
  <c r="G799" i="1"/>
  <c r="G800" i="1"/>
  <c r="G801" i="1"/>
  <c r="G802" i="1"/>
  <c r="G803" i="1"/>
  <c r="G804" i="1"/>
  <c r="G805" i="1"/>
  <c r="G806" i="1"/>
  <c r="G807" i="1"/>
  <c r="G808" i="1"/>
  <c r="G809" i="1"/>
  <c r="G810" i="1"/>
  <c r="G811" i="1"/>
  <c r="G812"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2" i="1"/>
  <c r="G853" i="1"/>
  <c r="G854" i="1"/>
  <c r="G855" i="1"/>
  <c r="G856" i="1"/>
  <c r="G857" i="1"/>
  <c r="G858" i="1"/>
  <c r="G859" i="1"/>
  <c r="G860" i="1"/>
  <c r="G861" i="1"/>
  <c r="G862" i="1"/>
  <c r="G863"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759" i="1"/>
  <c r="G760" i="1"/>
  <c r="G761" i="1"/>
  <c r="G762" i="1"/>
  <c r="G763" i="1"/>
  <c r="G764" i="1"/>
  <c r="G765" i="1"/>
  <c r="G766" i="1"/>
  <c r="G757" i="1"/>
  <c r="G758" i="1"/>
  <c r="G756" i="1" l="1"/>
  <c r="G730" i="1"/>
  <c r="G651" i="1"/>
  <c r="G654" i="1" l="1"/>
  <c r="G641" i="1" l="1"/>
  <c r="G639" i="1"/>
  <c r="G638" i="1" l="1"/>
  <c r="G614" i="1" l="1"/>
  <c r="G559" i="1" l="1"/>
  <c r="G560" i="1" l="1"/>
  <c r="G561" i="1"/>
  <c r="G562" i="1"/>
  <c r="G563" i="1"/>
  <c r="G564" i="1"/>
  <c r="G565" i="1"/>
  <c r="G566" i="1"/>
  <c r="G567" i="1"/>
  <c r="G568" i="1"/>
  <c r="G569" i="1"/>
  <c r="G570" i="1"/>
  <c r="G571" i="1"/>
  <c r="G572" i="1"/>
  <c r="G573" i="1"/>
  <c r="G574" i="1"/>
  <c r="G575" i="1"/>
  <c r="G576" i="1"/>
  <c r="G577" i="1"/>
  <c r="G578" i="1"/>
  <c r="G580" i="1"/>
  <c r="G581" i="1"/>
  <c r="G582" i="1"/>
  <c r="G583" i="1"/>
  <c r="G584" i="1"/>
  <c r="G585" i="1"/>
  <c r="G586" i="1"/>
  <c r="G587" i="1"/>
  <c r="G589" i="1"/>
  <c r="G590" i="1"/>
  <c r="G591" i="1"/>
  <c r="G594" i="1"/>
  <c r="G595" i="1"/>
  <c r="G596" i="1"/>
  <c r="G597" i="1"/>
  <c r="G599" i="1"/>
  <c r="G600" i="1"/>
  <c r="G601" i="1"/>
  <c r="G602" i="1"/>
  <c r="G603" i="1"/>
  <c r="G604" i="1"/>
  <c r="G605" i="1"/>
  <c r="G606" i="1"/>
  <c r="G607" i="1"/>
  <c r="G608" i="1"/>
  <c r="G609" i="1"/>
  <c r="G610" i="1"/>
  <c r="G611" i="1"/>
  <c r="G612" i="1"/>
  <c r="G613" i="1"/>
  <c r="G616" i="1"/>
  <c r="G617" i="1"/>
  <c r="G618" i="1"/>
  <c r="G619" i="1"/>
  <c r="G620" i="1"/>
  <c r="G621" i="1"/>
  <c r="G622" i="1"/>
  <c r="G623" i="1"/>
  <c r="G624" i="1"/>
  <c r="G625" i="1"/>
  <c r="G626" i="1"/>
  <c r="G627" i="1"/>
  <c r="G628" i="1"/>
  <c r="G629" i="1"/>
  <c r="G631" i="1"/>
  <c r="G632" i="1"/>
  <c r="G633" i="1"/>
  <c r="G634" i="1"/>
  <c r="G635" i="1"/>
  <c r="G636" i="1"/>
  <c r="G640" i="1"/>
  <c r="G642" i="1"/>
  <c r="G645" i="1"/>
  <c r="G646" i="1"/>
  <c r="G647" i="1"/>
  <c r="G648" i="1"/>
  <c r="G649" i="1"/>
  <c r="G650"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32" i="1"/>
  <c r="G733" i="1"/>
  <c r="G734" i="1"/>
  <c r="G735" i="1"/>
  <c r="G736" i="1"/>
  <c r="G737" i="1"/>
  <c r="G738" i="1"/>
  <c r="G739" i="1"/>
  <c r="G740" i="1"/>
  <c r="G741" i="1"/>
  <c r="G742" i="1"/>
  <c r="G743" i="1"/>
  <c r="G744" i="1"/>
  <c r="G745" i="1"/>
  <c r="G746" i="1"/>
  <c r="G747" i="1"/>
  <c r="G748" i="1"/>
  <c r="G749" i="1"/>
  <c r="G752" i="1"/>
  <c r="G754" i="1"/>
  <c r="G755" i="1"/>
  <c r="G555" i="1"/>
  <c r="G556" i="1"/>
  <c r="G557" i="1"/>
  <c r="G492" i="1"/>
  <c r="G493" i="1"/>
  <c r="G494" i="1"/>
  <c r="G495" i="1"/>
  <c r="G496" i="1"/>
  <c r="G497" i="1"/>
  <c r="G498" i="1"/>
  <c r="G499" i="1"/>
  <c r="G500" i="1"/>
  <c r="G501" i="1"/>
  <c r="G502" i="1"/>
  <c r="G503" i="1"/>
  <c r="G505" i="1"/>
  <c r="G506" i="1"/>
  <c r="G507" i="1"/>
  <c r="G508" i="1"/>
  <c r="G509" i="1"/>
  <c r="G510" i="1"/>
  <c r="G512" i="1"/>
  <c r="G513" i="1"/>
  <c r="G514" i="1"/>
  <c r="G515" i="1"/>
  <c r="G516" i="1"/>
  <c r="G517" i="1"/>
  <c r="G518" i="1"/>
  <c r="G519" i="1"/>
  <c r="G520" i="1"/>
  <c r="G521" i="1"/>
  <c r="G522" i="1"/>
  <c r="G523" i="1"/>
  <c r="G525" i="1"/>
  <c r="G526" i="1"/>
  <c r="G527" i="1"/>
  <c r="G528" i="1"/>
  <c r="G529" i="1"/>
  <c r="G530" i="1"/>
  <c r="G531" i="1"/>
  <c r="G532" i="1"/>
  <c r="G533" i="1"/>
  <c r="G534" i="1"/>
  <c r="G535" i="1"/>
  <c r="G536" i="1"/>
  <c r="G537" i="1"/>
  <c r="G538" i="1"/>
  <c r="G539" i="1"/>
  <c r="G540" i="1"/>
  <c r="G541" i="1"/>
  <c r="G542" i="1"/>
  <c r="G543" i="1"/>
  <c r="G544" i="1"/>
  <c r="G545" i="1"/>
  <c r="G546" i="1"/>
  <c r="G547" i="1"/>
  <c r="G548" i="1"/>
  <c r="G550" i="1"/>
  <c r="G551" i="1"/>
  <c r="G553" i="1"/>
  <c r="G554" i="1"/>
  <c r="G478" i="1"/>
  <c r="G445" i="1"/>
  <c r="G401" i="1"/>
  <c r="G419" i="1"/>
  <c r="G423" i="1"/>
  <c r="G424" i="1"/>
  <c r="G417" i="1" l="1"/>
  <c r="G416" i="1"/>
  <c r="G393" i="1" l="1"/>
  <c r="G394" i="1"/>
  <c r="G395" i="1"/>
  <c r="G396" i="1"/>
  <c r="G397" i="1"/>
  <c r="G398" i="1"/>
  <c r="G399" i="1"/>
  <c r="G400" i="1"/>
  <c r="G403" i="1"/>
  <c r="G404" i="1"/>
  <c r="G405" i="1"/>
  <c r="G406" i="1"/>
  <c r="G407" i="1"/>
  <c r="G408" i="1"/>
  <c r="G409" i="1"/>
  <c r="G410" i="1"/>
  <c r="G411" i="1"/>
  <c r="G412" i="1"/>
  <c r="G413" i="1"/>
  <c r="G414" i="1"/>
  <c r="G415" i="1"/>
  <c r="G418" i="1"/>
  <c r="G421" i="1"/>
  <c r="G422" i="1"/>
  <c r="G425" i="1"/>
  <c r="G426" i="1"/>
  <c r="G427" i="1"/>
  <c r="G428" i="1"/>
  <c r="G429" i="1"/>
  <c r="G430" i="1"/>
  <c r="G431" i="1"/>
  <c r="G432" i="1"/>
  <c r="G433" i="1"/>
  <c r="G434" i="1"/>
  <c r="G435" i="1"/>
  <c r="G438" i="1"/>
  <c r="G439" i="1"/>
  <c r="G440" i="1"/>
  <c r="G441" i="1"/>
  <c r="G442" i="1"/>
  <c r="G444" i="1"/>
  <c r="G447" i="1"/>
  <c r="G448" i="1"/>
  <c r="G449" i="1"/>
  <c r="G450" i="1"/>
  <c r="G451" i="1"/>
  <c r="G452" i="1"/>
  <c r="G453" i="1"/>
  <c r="G454" i="1"/>
  <c r="G455" i="1"/>
  <c r="G456" i="1"/>
  <c r="G457" i="1"/>
  <c r="G458" i="1"/>
  <c r="G459" i="1"/>
  <c r="G460" i="1"/>
  <c r="G461" i="1"/>
  <c r="G463" i="1"/>
  <c r="G464" i="1"/>
  <c r="G465" i="1"/>
  <c r="G467" i="1"/>
  <c r="G468" i="1"/>
  <c r="G469" i="1"/>
  <c r="G470" i="1"/>
  <c r="G471" i="1"/>
  <c r="G472" i="1"/>
  <c r="G473" i="1"/>
  <c r="G474" i="1"/>
  <c r="G475" i="1"/>
  <c r="G476" i="1"/>
  <c r="G477" i="1"/>
  <c r="G479" i="1"/>
  <c r="G480" i="1"/>
  <c r="G481" i="1"/>
  <c r="G482" i="1"/>
  <c r="G483" i="1"/>
  <c r="G484" i="1"/>
  <c r="G486" i="1"/>
  <c r="G487" i="1"/>
  <c r="G488" i="1"/>
  <c r="G489" i="1"/>
  <c r="G490" i="1"/>
  <c r="G491" i="1"/>
  <c r="G111" i="1" l="1"/>
  <c r="G293" i="1"/>
  <c r="G294" i="1"/>
  <c r="G295" i="1"/>
  <c r="G296" i="1"/>
  <c r="G297" i="1"/>
  <c r="G298" i="1"/>
  <c r="G299" i="1"/>
  <c r="G300" i="1"/>
  <c r="G301" i="1"/>
  <c r="G302" i="1"/>
  <c r="G303" i="1"/>
  <c r="G304" i="1"/>
  <c r="G305" i="1"/>
  <c r="G306" i="1"/>
  <c r="G307" i="1"/>
  <c r="G308" i="1"/>
  <c r="G309" i="1"/>
  <c r="G310" i="1"/>
  <c r="G311" i="1"/>
  <c r="G313" i="1"/>
  <c r="G314" i="1"/>
  <c r="G315" i="1"/>
  <c r="G316" i="1"/>
  <c r="G317" i="1"/>
  <c r="G318" i="1"/>
  <c r="G319" i="1"/>
  <c r="G320" i="1"/>
  <c r="G321" i="1"/>
  <c r="G322" i="1"/>
  <c r="G323" i="1"/>
  <c r="G324" i="1"/>
  <c r="G325" i="1"/>
  <c r="G326" i="1"/>
  <c r="G327" i="1"/>
  <c r="G328" i="1"/>
  <c r="G329" i="1"/>
  <c r="G330" i="1"/>
  <c r="G331" i="1"/>
  <c r="G332" i="1"/>
  <c r="G334" i="1"/>
  <c r="G335" i="1"/>
  <c r="G336" i="1"/>
  <c r="G337" i="1"/>
  <c r="G338" i="1"/>
  <c r="G339" i="1"/>
  <c r="G340" i="1"/>
  <c r="G341" i="1"/>
  <c r="G342" i="1"/>
  <c r="G343" i="1"/>
  <c r="G344" i="1"/>
  <c r="G345" i="1"/>
  <c r="G346" i="1"/>
  <c r="G347" i="1"/>
  <c r="G348" i="1"/>
  <c r="G349" i="1"/>
  <c r="G350" i="1"/>
  <c r="G351" i="1"/>
  <c r="G352" i="1"/>
  <c r="G353" i="1"/>
  <c r="G355" i="1"/>
  <c r="G356" i="1"/>
  <c r="G357" i="1"/>
  <c r="G358" i="1"/>
  <c r="G359" i="1"/>
  <c r="G360" i="1"/>
  <c r="G361" i="1"/>
  <c r="G362" i="1"/>
  <c r="G363" i="1"/>
  <c r="G364" i="1"/>
  <c r="G365" i="1"/>
  <c r="G366" i="1"/>
  <c r="G367" i="1"/>
  <c r="G368" i="1"/>
  <c r="G369" i="1"/>
  <c r="G370" i="1"/>
  <c r="G371" i="1"/>
  <c r="G372" i="1"/>
  <c r="G373" i="1"/>
  <c r="G377" i="1"/>
  <c r="G378" i="1"/>
  <c r="G379" i="1"/>
  <c r="G380" i="1"/>
  <c r="G381" i="1"/>
  <c r="G382" i="1"/>
  <c r="G383" i="1"/>
  <c r="G384" i="1"/>
  <c r="G385" i="1"/>
  <c r="G386" i="1"/>
  <c r="G387" i="1"/>
  <c r="G388" i="1"/>
  <c r="G292" i="1"/>
  <c r="G238" i="1"/>
  <c r="G229" i="1"/>
  <c r="G230" i="1"/>
  <c r="G231" i="1"/>
  <c r="G199" i="1"/>
  <c r="G200" i="1"/>
  <c r="G201" i="1"/>
  <c r="G202" i="1"/>
  <c r="G203" i="1"/>
  <c r="G204" i="1"/>
  <c r="G205" i="1"/>
  <c r="G206" i="1"/>
  <c r="G207" i="1"/>
  <c r="G208" i="1"/>
  <c r="G209" i="1"/>
  <c r="G210" i="1"/>
  <c r="G211" i="1"/>
  <c r="G212" i="1"/>
  <c r="G213" i="1"/>
  <c r="G214" i="1"/>
  <c r="G215" i="1"/>
  <c r="G217" i="1"/>
  <c r="G218" i="1"/>
  <c r="G219" i="1"/>
  <c r="G220" i="1"/>
  <c r="G221" i="1"/>
  <c r="G222" i="1"/>
  <c r="G223" i="1"/>
  <c r="G224" i="1"/>
  <c r="G225" i="1"/>
  <c r="G226" i="1"/>
  <c r="G227" i="1"/>
  <c r="G228" i="1"/>
  <c r="G232" i="1"/>
  <c r="G233" i="1"/>
  <c r="G234" i="1"/>
  <c r="G235" i="1"/>
  <c r="G236" i="1"/>
  <c r="G239" i="1"/>
  <c r="G240" i="1"/>
  <c r="G241" i="1"/>
  <c r="G242" i="1"/>
  <c r="G243" i="1"/>
  <c r="G244" i="1"/>
  <c r="G245" i="1"/>
  <c r="G246" i="1"/>
  <c r="G247" i="1"/>
  <c r="G248" i="1"/>
  <c r="G249" i="1"/>
  <c r="G250" i="1"/>
  <c r="G251" i="1"/>
  <c r="G252" i="1"/>
  <c r="G253" i="1"/>
  <c r="G254" i="1"/>
  <c r="G255" i="1"/>
  <c r="G256" i="1"/>
  <c r="G257" i="1"/>
  <c r="G259" i="1"/>
  <c r="G260" i="1"/>
  <c r="G261" i="1"/>
  <c r="G262" i="1"/>
  <c r="G263" i="1"/>
  <c r="G264" i="1"/>
  <c r="G265" i="1"/>
  <c r="G266" i="1"/>
  <c r="G267" i="1"/>
  <c r="G268" i="1"/>
  <c r="G269" i="1"/>
  <c r="G270" i="1"/>
  <c r="G271" i="1"/>
  <c r="G272" i="1"/>
  <c r="G273" i="1"/>
  <c r="G274" i="1"/>
  <c r="G275" i="1"/>
  <c r="G276" i="1"/>
  <c r="G277" i="1"/>
  <c r="G278" i="1"/>
  <c r="G280" i="1"/>
  <c r="G281" i="1"/>
  <c r="G282" i="1"/>
  <c r="G283" i="1"/>
  <c r="G284" i="1"/>
  <c r="G285" i="1"/>
  <c r="G286" i="1"/>
  <c r="G287" i="1"/>
  <c r="G196" i="1"/>
  <c r="G197" i="1"/>
  <c r="G198" i="1"/>
  <c r="G134" i="1"/>
  <c r="G130" i="1"/>
  <c r="G90" i="1"/>
  <c r="G80" i="1"/>
  <c r="G81" i="1"/>
  <c r="G82" i="1"/>
  <c r="G83" i="1"/>
  <c r="G84" i="1"/>
  <c r="G85" i="1"/>
  <c r="G86" i="1"/>
  <c r="G87" i="1"/>
  <c r="G78" i="1"/>
  <c r="G88" i="1"/>
  <c r="G79" i="1"/>
  <c r="G91" i="1"/>
  <c r="G92" i="1"/>
  <c r="G93" i="1"/>
  <c r="G94" i="1"/>
  <c r="G95" i="1"/>
  <c r="G96" i="1"/>
  <c r="G97" i="1"/>
  <c r="G98" i="1"/>
  <c r="G99" i="1"/>
  <c r="G100" i="1"/>
  <c r="G101" i="1"/>
  <c r="G102" i="1"/>
  <c r="G103" i="1"/>
  <c r="G104" i="1"/>
  <c r="G105" i="1"/>
  <c r="G106" i="1"/>
  <c r="G107" i="1"/>
  <c r="G108" i="1"/>
  <c r="G109" i="1"/>
  <c r="G112" i="1"/>
  <c r="G113" i="1"/>
  <c r="G114" i="1"/>
  <c r="G115" i="1"/>
  <c r="G116" i="1"/>
  <c r="G117" i="1"/>
  <c r="G118" i="1"/>
  <c r="G119" i="1"/>
  <c r="G120" i="1"/>
  <c r="G121" i="1"/>
  <c r="G122" i="1"/>
  <c r="G123" i="1"/>
  <c r="G124" i="1"/>
  <c r="G125" i="1"/>
  <c r="G126" i="1"/>
  <c r="G127" i="1"/>
  <c r="G128" i="1"/>
  <c r="G129" i="1"/>
  <c r="G133" i="1"/>
  <c r="G135" i="1"/>
  <c r="G136" i="1"/>
  <c r="G137" i="1"/>
  <c r="G138" i="1"/>
  <c r="G139" i="1"/>
  <c r="G140" i="1"/>
  <c r="G141" i="1"/>
  <c r="G142" i="1"/>
  <c r="G143" i="1"/>
  <c r="G144" i="1"/>
  <c r="G145" i="1"/>
  <c r="G146" i="1"/>
  <c r="G147" i="1"/>
  <c r="G148" i="1"/>
  <c r="G149" i="1"/>
  <c r="G150" i="1"/>
  <c r="G151" i="1"/>
  <c r="G152" i="1"/>
  <c r="G154" i="1"/>
  <c r="G155" i="1"/>
  <c r="G156" i="1"/>
  <c r="G157" i="1"/>
  <c r="G158" i="1"/>
  <c r="G159" i="1"/>
  <c r="G160" i="1"/>
  <c r="G161" i="1"/>
  <c r="G162" i="1"/>
  <c r="G163" i="1"/>
  <c r="G164" i="1"/>
  <c r="G165" i="1"/>
  <c r="G166" i="1"/>
  <c r="G167" i="1"/>
  <c r="G168" i="1"/>
  <c r="G169" i="1"/>
  <c r="G170" i="1"/>
  <c r="G171" i="1"/>
  <c r="G172" i="1"/>
  <c r="G173" i="1"/>
  <c r="G175" i="1"/>
  <c r="G176" i="1"/>
  <c r="G177" i="1"/>
  <c r="G178" i="1"/>
  <c r="G179" i="1"/>
  <c r="G180" i="1"/>
  <c r="G181" i="1"/>
  <c r="G182" i="1"/>
  <c r="G183" i="1"/>
  <c r="G184" i="1"/>
  <c r="G185" i="1"/>
  <c r="G186" i="1"/>
  <c r="G187" i="1"/>
  <c r="G188" i="1"/>
  <c r="G189" i="1"/>
  <c r="G190" i="1"/>
  <c r="G191" i="1"/>
  <c r="G192" i="1"/>
  <c r="G193" i="1"/>
  <c r="G194" i="1"/>
  <c r="G74" i="1"/>
  <c r="G70" i="1"/>
  <c r="G65" i="1"/>
  <c r="G61" i="1"/>
  <c r="G57" i="1"/>
  <c r="G53" i="1"/>
  <c r="G49" i="1"/>
  <c r="G44" i="1"/>
  <c r="G40" i="1"/>
  <c r="G36" i="1"/>
  <c r="G32" i="1"/>
  <c r="G33" i="1"/>
  <c r="G34" i="1"/>
  <c r="G35" i="1"/>
  <c r="G37" i="1"/>
  <c r="G38" i="1"/>
  <c r="G39" i="1"/>
  <c r="G41" i="1"/>
  <c r="G42" i="1"/>
  <c r="G43" i="1"/>
  <c r="G45" i="1"/>
  <c r="G46" i="1"/>
  <c r="G48" i="1"/>
  <c r="G50" i="1"/>
  <c r="G51" i="1"/>
  <c r="G52" i="1"/>
  <c r="G54" i="1"/>
  <c r="G55" i="1"/>
  <c r="G56" i="1"/>
  <c r="G58" i="1"/>
  <c r="G59" i="1"/>
  <c r="G60" i="1"/>
  <c r="G62" i="1"/>
  <c r="G63" i="1"/>
  <c r="G64" i="1"/>
  <c r="G66" i="1"/>
  <c r="G67" i="1"/>
  <c r="G69" i="1"/>
  <c r="G71" i="1"/>
  <c r="G72" i="1"/>
  <c r="G73" i="1"/>
  <c r="G75" i="1"/>
  <c r="G76" i="1"/>
  <c r="G77" i="1"/>
  <c r="G7" i="1"/>
  <c r="G8" i="1"/>
  <c r="G9" i="1"/>
  <c r="G10" i="1"/>
  <c r="G11" i="1"/>
  <c r="G12" i="1"/>
  <c r="G13" i="1"/>
  <c r="G14" i="1"/>
  <c r="G15" i="1"/>
  <c r="G16" i="1"/>
  <c r="G17" i="1"/>
  <c r="G18" i="1"/>
  <c r="G19" i="1"/>
  <c r="G20" i="1"/>
  <c r="G21" i="1"/>
  <c r="G22" i="1"/>
  <c r="G23" i="1"/>
  <c r="G24" i="1"/>
  <c r="G25" i="1"/>
  <c r="G27" i="1"/>
  <c r="G28" i="1"/>
  <c r="G29" i="1"/>
  <c r="G30" i="1"/>
  <c r="G31" i="1"/>
  <c r="G549" i="1"/>
</calcChain>
</file>

<file path=xl/sharedStrings.xml><?xml version="1.0" encoding="utf-8"?>
<sst xmlns="http://schemas.openxmlformats.org/spreadsheetml/2006/main" count="2050" uniqueCount="1741">
  <si>
    <t>Inventory ID</t>
  </si>
  <si>
    <t>Name</t>
  </si>
  <si>
    <t>Quantity in stock</t>
  </si>
  <si>
    <t>IN0001</t>
  </si>
  <si>
    <t/>
  </si>
  <si>
    <t>IN0002</t>
  </si>
  <si>
    <t>IN0003</t>
  </si>
  <si>
    <t>IN0004</t>
  </si>
  <si>
    <t>IN0005</t>
  </si>
  <si>
    <t>IN0006</t>
  </si>
  <si>
    <t>IN0007</t>
  </si>
  <si>
    <t>IN0008</t>
  </si>
  <si>
    <t>IN0009</t>
  </si>
  <si>
    <t>IN0010</t>
  </si>
  <si>
    <t>IN0011</t>
  </si>
  <si>
    <t>IN0012</t>
  </si>
  <si>
    <t>IN0013</t>
  </si>
  <si>
    <t>IN0014</t>
  </si>
  <si>
    <t>IN0015</t>
  </si>
  <si>
    <t>IN0016</t>
  </si>
  <si>
    <t>IN0017</t>
  </si>
  <si>
    <t>IN0018</t>
  </si>
  <si>
    <t>IN0019</t>
  </si>
  <si>
    <t>IN0020</t>
  </si>
  <si>
    <t>IN0021</t>
  </si>
  <si>
    <t>IN0022</t>
  </si>
  <si>
    <t>IN0023</t>
  </si>
  <si>
    <t>IN0024</t>
  </si>
  <si>
    <t>IN0025</t>
  </si>
  <si>
    <t>COOL AIR REFRIGERATION</t>
  </si>
  <si>
    <t>S.NO</t>
  </si>
  <si>
    <t>WHIRLPOOL SPIN CAP</t>
  </si>
  <si>
    <t>SAMSUNG SPIN CAP</t>
  </si>
  <si>
    <t>VIDEOCON SPIN CAP</t>
  </si>
  <si>
    <t>LG WASH PULLY</t>
  </si>
  <si>
    <t>SAMSUNG WASH PULLY</t>
  </si>
  <si>
    <t>WHIRLPOOL WASH PULLY</t>
  </si>
  <si>
    <t>BREAK PLATE MIX</t>
  </si>
  <si>
    <t>WHIRLPOOL KNOB</t>
  </si>
  <si>
    <t>PDS KNOB</t>
  </si>
  <si>
    <t>GODREJ WASH PULLY</t>
  </si>
  <si>
    <t>GODREJ KNOB</t>
  </si>
  <si>
    <t>GODREJ KNOB SILVER</t>
  </si>
  <si>
    <t xml:space="preserve">SAMSUNG KNOB </t>
  </si>
  <si>
    <t>WHIRLPOOL DRAIN LEVER</t>
  </si>
  <si>
    <t>SAMSUNG DRAIN LEVER</t>
  </si>
  <si>
    <t>LG DRAIN LEVER</t>
  </si>
  <si>
    <t>VIDEOCON DRAIN LEVER</t>
  </si>
  <si>
    <t>WHIRLPOOL SPIN MOTOR</t>
  </si>
  <si>
    <t>LG OLD KNOB</t>
  </si>
  <si>
    <t>TOTAL</t>
  </si>
  <si>
    <t>BILL NO</t>
  </si>
  <si>
    <t>MARUTI REF</t>
  </si>
  <si>
    <t>LG ROLLER</t>
  </si>
  <si>
    <t>SAMSUNG 2 ROLLER PULSATOR ROLLER</t>
  </si>
  <si>
    <t>SAMSUNG 3 ROLLER PULSATOR ROLLER</t>
  </si>
  <si>
    <t>WHIRLPOOL SEMI SHOCKER</t>
  </si>
  <si>
    <t>GODREJ SEMI SHOCKER</t>
  </si>
  <si>
    <t>IN0026</t>
  </si>
  <si>
    <t>IN0027</t>
  </si>
  <si>
    <t>IN0028</t>
  </si>
  <si>
    <t>IN0029</t>
  </si>
  <si>
    <t>IN0030</t>
  </si>
  <si>
    <t>IN0031</t>
  </si>
  <si>
    <t>IN0032</t>
  </si>
  <si>
    <t>IN0033</t>
  </si>
  <si>
    <t>IN0034</t>
  </si>
  <si>
    <t>IN0035</t>
  </si>
  <si>
    <t>IN0036</t>
  </si>
  <si>
    <t>IN0037</t>
  </si>
  <si>
    <t>IN0038</t>
  </si>
  <si>
    <t>IN0039</t>
  </si>
  <si>
    <t>IN0040</t>
  </si>
  <si>
    <t>IN0041</t>
  </si>
  <si>
    <t>IN0042</t>
  </si>
  <si>
    <t>IN0043</t>
  </si>
  <si>
    <t>IN0044</t>
  </si>
  <si>
    <t>IN0045</t>
  </si>
  <si>
    <t>IN0046</t>
  </si>
  <si>
    <t>IN0047</t>
  </si>
  <si>
    <t>IN0048</t>
  </si>
  <si>
    <t>IN0049</t>
  </si>
  <si>
    <t>IN0050</t>
  </si>
  <si>
    <t>IN0051</t>
  </si>
  <si>
    <t>IN0052</t>
  </si>
  <si>
    <t>IN0053</t>
  </si>
  <si>
    <t>IN0054</t>
  </si>
  <si>
    <t>IN0055</t>
  </si>
  <si>
    <t>IN0056</t>
  </si>
  <si>
    <t>IN0057</t>
  </si>
  <si>
    <t>IN0058</t>
  </si>
  <si>
    <t>IN0059</t>
  </si>
  <si>
    <t>IN0060</t>
  </si>
  <si>
    <t>IN0061</t>
  </si>
  <si>
    <t>IN0062</t>
  </si>
  <si>
    <t>IN0063</t>
  </si>
  <si>
    <t>IN0064</t>
  </si>
  <si>
    <t>IN0065</t>
  </si>
  <si>
    <t>IN0066</t>
  </si>
  <si>
    <t>IN0067</t>
  </si>
  <si>
    <t>IN0068</t>
  </si>
  <si>
    <t>IN0069</t>
  </si>
  <si>
    <t>IN0070</t>
  </si>
  <si>
    <t>IN0071</t>
  </si>
  <si>
    <t>IN0072</t>
  </si>
  <si>
    <t>LG SEMI SHOCKER</t>
  </si>
  <si>
    <t>VIDEOCON SEMI SHOCKER</t>
  </si>
  <si>
    <t>SAMSUNG SEMI SHOCKER</t>
  </si>
  <si>
    <t>V BELT</t>
  </si>
  <si>
    <t>WHIRLPOOL BELT</t>
  </si>
  <si>
    <t>GODREJ DRAIN TIMER</t>
  </si>
  <si>
    <t>SAMSUNG BUFFER</t>
  </si>
  <si>
    <t>LG SPIN CAP</t>
  </si>
  <si>
    <t xml:space="preserve"> TAPE ADAPTOR WHITE</t>
  </si>
  <si>
    <t xml:space="preserve">AMOUNT </t>
  </si>
  <si>
    <t>PAID</t>
  </si>
  <si>
    <t xml:space="preserve">ONIDA 7 WIRE SINGLE WASH TIMR </t>
  </si>
  <si>
    <t>LG SPIN TIMER JACK</t>
  </si>
  <si>
    <t>SAMSUNG SPIN TIMER JACK</t>
  </si>
  <si>
    <t>WHIRLPOOL SPIN TIMER</t>
  </si>
  <si>
    <t>TOTAL AMOUNT</t>
  </si>
  <si>
    <t>LG SMALL 3 ROLLER PULSATOR</t>
  </si>
  <si>
    <t>LG DRAIN ASSEMBLY</t>
  </si>
  <si>
    <t>LG 9 KG DRAIN ASSEMBLY</t>
  </si>
  <si>
    <t>WHIRLPOOL DRAIN ASSEMBLY</t>
  </si>
  <si>
    <t>VIDEOCON DRAIN ASSEMBLY</t>
  </si>
  <si>
    <t>LG JACK SPIN MOTOR</t>
  </si>
  <si>
    <t>IN0073</t>
  </si>
  <si>
    <t>IN0074</t>
  </si>
  <si>
    <t>IN0075</t>
  </si>
  <si>
    <t>IN0076</t>
  </si>
  <si>
    <t>IN0077</t>
  </si>
  <si>
    <t>IN0078</t>
  </si>
  <si>
    <t>IN0079</t>
  </si>
  <si>
    <t>IN0080</t>
  </si>
  <si>
    <t>IN0081</t>
  </si>
  <si>
    <t>IN0082</t>
  </si>
  <si>
    <t>IN0083</t>
  </si>
  <si>
    <t>IN0084</t>
  </si>
  <si>
    <t>IN0085</t>
  </si>
  <si>
    <t>IN0086</t>
  </si>
  <si>
    <t>IN0087</t>
  </si>
  <si>
    <t>IN0088</t>
  </si>
  <si>
    <t>IN0089</t>
  </si>
  <si>
    <t>IN0090</t>
  </si>
  <si>
    <t>IN0091</t>
  </si>
  <si>
    <t>IN0092</t>
  </si>
  <si>
    <t>IN0093</t>
  </si>
  <si>
    <t>IN0094</t>
  </si>
  <si>
    <t>IN0095</t>
  </si>
  <si>
    <t>IN0096</t>
  </si>
  <si>
    <t>IN0097</t>
  </si>
  <si>
    <t>IN0098</t>
  </si>
  <si>
    <t>IN0099</t>
  </si>
  <si>
    <t>IN0100</t>
  </si>
  <si>
    <t>IN0101</t>
  </si>
  <si>
    <t>IN0102</t>
  </si>
  <si>
    <t>IN0103</t>
  </si>
  <si>
    <t>IN0104</t>
  </si>
  <si>
    <t>IN0105</t>
  </si>
  <si>
    <t>IN0106</t>
  </si>
  <si>
    <t>IN0107</t>
  </si>
  <si>
    <t>IN0108</t>
  </si>
  <si>
    <t>IN0109</t>
  </si>
  <si>
    <t>IN0110</t>
  </si>
  <si>
    <t>IN0111</t>
  </si>
  <si>
    <t>IN0112</t>
  </si>
  <si>
    <t>IN0113</t>
  </si>
  <si>
    <t>IN0114</t>
  </si>
  <si>
    <t>IN0115</t>
  </si>
  <si>
    <t>IN0116</t>
  </si>
  <si>
    <t>IN0117</t>
  </si>
  <si>
    <t>IN0118</t>
  </si>
  <si>
    <t>IN0119</t>
  </si>
  <si>
    <t>IN0120</t>
  </si>
  <si>
    <t>IN0121</t>
  </si>
  <si>
    <t>IN0122</t>
  </si>
  <si>
    <t>IN0123</t>
  </si>
  <si>
    <t>IN0124</t>
  </si>
  <si>
    <t>IN0125</t>
  </si>
  <si>
    <t>IN0126</t>
  </si>
  <si>
    <t>IN0127</t>
  </si>
  <si>
    <t>IN0128</t>
  </si>
  <si>
    <t>IN0129</t>
  </si>
  <si>
    <t>IN0130</t>
  </si>
  <si>
    <t>IN0131</t>
  </si>
  <si>
    <t>IN0132</t>
  </si>
  <si>
    <t>IN0133</t>
  </si>
  <si>
    <t>IN0134</t>
  </si>
  <si>
    <t>IN0135</t>
  </si>
  <si>
    <t>IN0136</t>
  </si>
  <si>
    <t>IN0137</t>
  </si>
  <si>
    <t>IN0138</t>
  </si>
  <si>
    <t>IN0139</t>
  </si>
  <si>
    <t>IN0140</t>
  </si>
  <si>
    <t>IN0141</t>
  </si>
  <si>
    <t>IN0142</t>
  </si>
  <si>
    <t>IN0143</t>
  </si>
  <si>
    <t>IN0144</t>
  </si>
  <si>
    <t>IN0145</t>
  </si>
  <si>
    <t>IN0146</t>
  </si>
  <si>
    <t>IN0147</t>
  </si>
  <si>
    <t>IN0148</t>
  </si>
  <si>
    <t>IN0149</t>
  </si>
  <si>
    <t>IN0150</t>
  </si>
  <si>
    <t>IN0151</t>
  </si>
  <si>
    <t>IN0152</t>
  </si>
  <si>
    <t>IN0153</t>
  </si>
  <si>
    <t>IN0154</t>
  </si>
  <si>
    <t>IN0155</t>
  </si>
  <si>
    <t>IN0156</t>
  </si>
  <si>
    <t>IN0157</t>
  </si>
  <si>
    <t>IN0158</t>
  </si>
  <si>
    <t>IN0159</t>
  </si>
  <si>
    <t>IN0160</t>
  </si>
  <si>
    <t>IN0161</t>
  </si>
  <si>
    <t>IN0162</t>
  </si>
  <si>
    <t>IN0163</t>
  </si>
  <si>
    <t>IN0164</t>
  </si>
  <si>
    <t>IN0165</t>
  </si>
  <si>
    <t>IN0166</t>
  </si>
  <si>
    <t>IN0167</t>
  </si>
  <si>
    <t>IN0168</t>
  </si>
  <si>
    <t>IN0169</t>
  </si>
  <si>
    <t>IN0170</t>
  </si>
  <si>
    <t>IN0171</t>
  </si>
  <si>
    <t>IN0172</t>
  </si>
  <si>
    <t>IN0173</t>
  </si>
  <si>
    <t>IN0174</t>
  </si>
  <si>
    <t>IN0175</t>
  </si>
  <si>
    <t>IN0176</t>
  </si>
  <si>
    <t>IN0177</t>
  </si>
  <si>
    <t>IN0178</t>
  </si>
  <si>
    <t>IN0179</t>
  </si>
  <si>
    <t>IN0180</t>
  </si>
  <si>
    <t>IN0181</t>
  </si>
  <si>
    <t>IN0182</t>
  </si>
  <si>
    <t>IN0183</t>
  </si>
  <si>
    <t>IN0184</t>
  </si>
  <si>
    <t>6800 WASH MOTOR</t>
  </si>
  <si>
    <t>180 WAT WASH MOTOR</t>
  </si>
  <si>
    <t>LG WASH MOTOR WP</t>
  </si>
  <si>
    <t>SAMSUNG WASH MOTOR WP</t>
  </si>
  <si>
    <t>WHIRLPOOL WASH MOTOR</t>
  </si>
  <si>
    <t>IN0185</t>
  </si>
  <si>
    <t>IN0186</t>
  </si>
  <si>
    <t>IN0187</t>
  </si>
  <si>
    <t>IN0188</t>
  </si>
  <si>
    <t>IN0189</t>
  </si>
  <si>
    <t>IN0190</t>
  </si>
  <si>
    <t>IN0191</t>
  </si>
  <si>
    <t>IN0192</t>
  </si>
  <si>
    <t>IN0193</t>
  </si>
  <si>
    <t>IN0194</t>
  </si>
  <si>
    <t>IN0195</t>
  </si>
  <si>
    <t>IN0196</t>
  </si>
  <si>
    <t>IN0197</t>
  </si>
  <si>
    <t>IN0198</t>
  </si>
  <si>
    <t>IN0199</t>
  </si>
  <si>
    <t>IN0200</t>
  </si>
  <si>
    <t>IN0201</t>
  </si>
  <si>
    <t>IN0202</t>
  </si>
  <si>
    <t>IN0203</t>
  </si>
  <si>
    <t>IN0204</t>
  </si>
  <si>
    <t>IN0205</t>
  </si>
  <si>
    <t>IN0206</t>
  </si>
  <si>
    <t>IN0207</t>
  </si>
  <si>
    <t>IN0208</t>
  </si>
  <si>
    <t>IN0209</t>
  </si>
  <si>
    <t>IN0210</t>
  </si>
  <si>
    <t>IN0211</t>
  </si>
  <si>
    <t>IN0212</t>
  </si>
  <si>
    <t>IN0213</t>
  </si>
  <si>
    <t>IN0214</t>
  </si>
  <si>
    <t>IN0215</t>
  </si>
  <si>
    <t>IN0216</t>
  </si>
  <si>
    <t>IN0217</t>
  </si>
  <si>
    <t>IN0218</t>
  </si>
  <si>
    <t>IN0219</t>
  </si>
  <si>
    <t>IN0220</t>
  </si>
  <si>
    <t>IN0221</t>
  </si>
  <si>
    <t>IN0222</t>
  </si>
  <si>
    <t>IN0223</t>
  </si>
  <si>
    <t>IN0224</t>
  </si>
  <si>
    <t>IN0225</t>
  </si>
  <si>
    <t>IN0226</t>
  </si>
  <si>
    <t>IN0227</t>
  </si>
  <si>
    <t>IN0228</t>
  </si>
  <si>
    <t>IN0229</t>
  </si>
  <si>
    <t>LG GEAR BOX</t>
  </si>
  <si>
    <t>LG OLD GEAR BOX</t>
  </si>
  <si>
    <t>WHIRLPOOL NEW MODEL GEAR BOX</t>
  </si>
  <si>
    <t>GODREJ NEW PULSATOR</t>
  </si>
  <si>
    <t>VIDEOCON PULSATOR</t>
  </si>
  <si>
    <t>LLOYD PULSATOR LG TYPE</t>
  </si>
  <si>
    <t>PANSASONIC PULSATOR</t>
  </si>
  <si>
    <t>LLOYD PULSATOR</t>
  </si>
  <si>
    <t>WHIRLPOOL 4 HOLE PULSATOR</t>
  </si>
  <si>
    <t>GODREJ 4 BALL PULSATOR</t>
  </si>
  <si>
    <t xml:space="preserve">SAMSUNG 2 ROLLER PULSATOR </t>
  </si>
  <si>
    <t>PDS PULSATOR</t>
  </si>
  <si>
    <t>3 EYE PULSATOR</t>
  </si>
  <si>
    <t>WHIRLPOOL SMALL GEAR BOX</t>
  </si>
  <si>
    <t>WHIRLPOOL BIG GEAR BOX</t>
  </si>
  <si>
    <t>VIRAT GEAR BOX</t>
  </si>
  <si>
    <t>VIDEOCON 4 SCREW GEAR BOX</t>
  </si>
  <si>
    <t>GODREJ LG TYPE GEAR BOX</t>
  </si>
  <si>
    <t>GODREJ 4 SCREW GEAR BOX</t>
  </si>
  <si>
    <t>VIDEOCON LG OLD TYPE GEAR BOX</t>
  </si>
  <si>
    <t>VIDEOCON 6800 GEAR BOX</t>
  </si>
  <si>
    <t>13 NO GEAR BOX</t>
  </si>
  <si>
    <t>33 NO GEAR BOX</t>
  </si>
  <si>
    <t>42 NO GEAR BOX</t>
  </si>
  <si>
    <t>16 NO GEAR BOX</t>
  </si>
  <si>
    <t>22 NO GEAR BOX</t>
  </si>
  <si>
    <t>17 NO GEAR BOX</t>
  </si>
  <si>
    <t>07 NO GEAR BOX</t>
  </si>
  <si>
    <t>WHIRLPOOL 6001 GEAR BOX</t>
  </si>
  <si>
    <t>SAMSUNG GEAR BOX</t>
  </si>
  <si>
    <t>MARUTI REFRIGEATON</t>
  </si>
  <si>
    <t>DATE</t>
  </si>
  <si>
    <t xml:space="preserve">BALANCE AMOUNT </t>
  </si>
  <si>
    <t>3,00,000</t>
  </si>
  <si>
    <t>DELIVERY CHARGE</t>
  </si>
  <si>
    <t>250 PSI GAUGE</t>
  </si>
  <si>
    <t>HC VALVE (DVM)</t>
  </si>
  <si>
    <t>HC VALVE (RISE)</t>
  </si>
  <si>
    <t>MAIN CODE</t>
  </si>
  <si>
    <t>GODREJ 6801 GEAR BOX</t>
  </si>
  <si>
    <t>GODREJ 7002 GEAR BOX</t>
  </si>
  <si>
    <t>LG OLD SPIN LID</t>
  </si>
  <si>
    <t>WHIRLPOOL ZENUS BOTTLE SHELF</t>
  </si>
  <si>
    <t>LG STAR 1 BOTTLE SHELF</t>
  </si>
  <si>
    <t>SAMSUNG 1719 BOTTLE SHELF</t>
  </si>
  <si>
    <t>WHIRLPOOL ZENY BOTTLE SHELF</t>
  </si>
  <si>
    <t>LG 2689 BOTTLE SHELF</t>
  </si>
  <si>
    <t>SAMSUNG FREEZER DOOR</t>
  </si>
  <si>
    <t>LG SPUN</t>
  </si>
  <si>
    <t>WHIRLPOOL FAN MOTOR</t>
  </si>
  <si>
    <t>CHARGING NIPPLE</t>
  </si>
  <si>
    <t>10 WAT FAN MOTOR(DIKEN)</t>
  </si>
  <si>
    <t>5 WAT FAN MOTOR</t>
  </si>
  <si>
    <t>2 POLE CONTRACTOR (KOVEA)</t>
  </si>
  <si>
    <t>1 POLE CONTRACTOR (DIKEN)</t>
  </si>
  <si>
    <t xml:space="preserve">3 POLE CONTRACTOR </t>
  </si>
  <si>
    <t xml:space="preserve">LG FAN MOTOR </t>
  </si>
  <si>
    <t>SAMSUNG FAN MOTOR</t>
  </si>
  <si>
    <t>WHIRLPOOL RADIAL FAN</t>
  </si>
  <si>
    <t>LG SPIN PULLY</t>
  </si>
  <si>
    <t>SAMSUNG SPIN PULLY</t>
  </si>
  <si>
    <t>SAMSUNG SPIN PULLY NEW</t>
  </si>
  <si>
    <t>GODREJ SPIN PULLY</t>
  </si>
  <si>
    <t>THIMBAL</t>
  </si>
  <si>
    <t>SAMSUNG PRESSURE SENSOR</t>
  </si>
  <si>
    <t>LG PRESSURE SENSOR</t>
  </si>
  <si>
    <t>WASHING MACHINE BUZZER</t>
  </si>
  <si>
    <t>LG MAGIC FITTER</t>
  </si>
  <si>
    <t>SAMSUNG MAGIC FITTER</t>
  </si>
  <si>
    <t>25 GM DRIER</t>
  </si>
  <si>
    <t>BABA DRIER</t>
  </si>
  <si>
    <t>IN0230</t>
  </si>
  <si>
    <t>IN0231</t>
  </si>
  <si>
    <t>IN0232</t>
  </si>
  <si>
    <t>IN0233</t>
  </si>
  <si>
    <t>IN0234</t>
  </si>
  <si>
    <t>IN0235</t>
  </si>
  <si>
    <t>IN0236</t>
  </si>
  <si>
    <t>IN0237</t>
  </si>
  <si>
    <t>IN0238</t>
  </si>
  <si>
    <t>IN0239</t>
  </si>
  <si>
    <t>IN0240</t>
  </si>
  <si>
    <t>IN0241</t>
  </si>
  <si>
    <t>IN0242</t>
  </si>
  <si>
    <t>IN0243</t>
  </si>
  <si>
    <t>IN0244</t>
  </si>
  <si>
    <t>IN0245</t>
  </si>
  <si>
    <t>IN0246</t>
  </si>
  <si>
    <t>IN0247</t>
  </si>
  <si>
    <t>IN0248</t>
  </si>
  <si>
    <t>IN0249</t>
  </si>
  <si>
    <t>IN0250</t>
  </si>
  <si>
    <t>IN0251</t>
  </si>
  <si>
    <t>IN0252</t>
  </si>
  <si>
    <t>IN0253</t>
  </si>
  <si>
    <t>IN0254</t>
  </si>
  <si>
    <t>IN0255</t>
  </si>
  <si>
    <t>IN0256</t>
  </si>
  <si>
    <t>IN0257</t>
  </si>
  <si>
    <t>IN0258</t>
  </si>
  <si>
    <t>IN0259</t>
  </si>
  <si>
    <t>IN0260</t>
  </si>
  <si>
    <t>IN0261</t>
  </si>
  <si>
    <t>IN0262</t>
  </si>
  <si>
    <t>IN0263</t>
  </si>
  <si>
    <t>IN0264</t>
  </si>
  <si>
    <t>IN0265</t>
  </si>
  <si>
    <t>IN0266</t>
  </si>
  <si>
    <t>IN0267</t>
  </si>
  <si>
    <t>IN0268</t>
  </si>
  <si>
    <t>IN0269</t>
  </si>
  <si>
    <t>IN0270</t>
  </si>
  <si>
    <t>IN0271</t>
  </si>
  <si>
    <t>IN0272</t>
  </si>
  <si>
    <t>IN0273</t>
  </si>
  <si>
    <t>IN0274</t>
  </si>
  <si>
    <t>IN0275</t>
  </si>
  <si>
    <t>IN0276</t>
  </si>
  <si>
    <t>IN0277</t>
  </si>
  <si>
    <t>IN0278</t>
  </si>
  <si>
    <t>IN0279</t>
  </si>
  <si>
    <t>IN0280</t>
  </si>
  <si>
    <t>IN0281</t>
  </si>
  <si>
    <t>IN0282</t>
  </si>
  <si>
    <t>IN0283</t>
  </si>
  <si>
    <t>IN0284</t>
  </si>
  <si>
    <t>IN0285</t>
  </si>
  <si>
    <t>IN0286</t>
  </si>
  <si>
    <t>IN0287</t>
  </si>
  <si>
    <t>IN0288</t>
  </si>
  <si>
    <t>IN0289</t>
  </si>
  <si>
    <t>IN0290</t>
  </si>
  <si>
    <t>IN0291</t>
  </si>
  <si>
    <t>IN0292</t>
  </si>
  <si>
    <t>IN0293</t>
  </si>
  <si>
    <t>IN0294</t>
  </si>
  <si>
    <t>IN0295</t>
  </si>
  <si>
    <t>IN0296</t>
  </si>
  <si>
    <t>IN0297</t>
  </si>
  <si>
    <t>IN0298</t>
  </si>
  <si>
    <t>IN0299</t>
  </si>
  <si>
    <t>IN0300</t>
  </si>
  <si>
    <t>IN0301</t>
  </si>
  <si>
    <t>IN0302</t>
  </si>
  <si>
    <t>IN0303</t>
  </si>
  <si>
    <t>IN0304</t>
  </si>
  <si>
    <t>IN0305</t>
  </si>
  <si>
    <t>IN0306</t>
  </si>
  <si>
    <t>IN0307</t>
  </si>
  <si>
    <t>IN0308</t>
  </si>
  <si>
    <t>IN0309</t>
  </si>
  <si>
    <t>IN0310</t>
  </si>
  <si>
    <t>IN0311</t>
  </si>
  <si>
    <t>IN0312</t>
  </si>
  <si>
    <t>IN0313</t>
  </si>
  <si>
    <t>IN0314</t>
  </si>
  <si>
    <t>IN0315</t>
  </si>
  <si>
    <t>IN0316</t>
  </si>
  <si>
    <t>IN0317</t>
  </si>
  <si>
    <t>IN0318</t>
  </si>
  <si>
    <t>IN0319</t>
  </si>
  <si>
    <t>IN0320</t>
  </si>
  <si>
    <t>IN0321</t>
  </si>
  <si>
    <t>IN0322</t>
  </si>
  <si>
    <t>IN0323</t>
  </si>
  <si>
    <t>IN0324</t>
  </si>
  <si>
    <t>IN0325</t>
  </si>
  <si>
    <t>IN0326</t>
  </si>
  <si>
    <t>IN0327</t>
  </si>
  <si>
    <t>IN0328</t>
  </si>
  <si>
    <t>IN0329</t>
  </si>
  <si>
    <t>IN0330</t>
  </si>
  <si>
    <t>IN0331</t>
  </si>
  <si>
    <t>IN0332</t>
  </si>
  <si>
    <t>IN0333</t>
  </si>
  <si>
    <t>IN0334</t>
  </si>
  <si>
    <t>IN0335</t>
  </si>
  <si>
    <t>IN0336</t>
  </si>
  <si>
    <t>IN0337</t>
  </si>
  <si>
    <t>IN0338</t>
  </si>
  <si>
    <t>IN0339</t>
  </si>
  <si>
    <t>IN0340</t>
  </si>
  <si>
    <t>IN0341</t>
  </si>
  <si>
    <t>IN0342</t>
  </si>
  <si>
    <t>IN0343</t>
  </si>
  <si>
    <t>IN0344</t>
  </si>
  <si>
    <t xml:space="preserve">SAMSUNG LINT FITTER </t>
  </si>
  <si>
    <t xml:space="preserve">VIDEOCON LINT FITTER </t>
  </si>
  <si>
    <t>GODREJ LINT FITTER</t>
  </si>
  <si>
    <t>LG LINT FITTER</t>
  </si>
  <si>
    <t>WHIRLPOOL LINT FITTER</t>
  </si>
  <si>
    <t>SAMSUNG INLET VALVE SINGLE(0)</t>
  </si>
  <si>
    <t>SAMSUNG DOUBLE INLET VALVE(0)</t>
  </si>
  <si>
    <t>GODREJ SINGLE INLET VALVE</t>
  </si>
  <si>
    <t>LG SINGLE DC AC TYPE INLET VALVE</t>
  </si>
  <si>
    <t>LG DOUBLE INLET VALVE</t>
  </si>
  <si>
    <t xml:space="preserve">   LG SINGLE INLET VALVE </t>
  </si>
  <si>
    <t>WHIRLPOOL SINGLE INLET VALVE(L)</t>
  </si>
  <si>
    <t>WHIRLPOOL SINGLE INLET VALVE(0)</t>
  </si>
  <si>
    <t>DRAIN FITA CLOTH</t>
  </si>
  <si>
    <t>TORCH GUARD</t>
  </si>
  <si>
    <t>LG DRAIN MOTOR</t>
  </si>
  <si>
    <t>SAMSUNG DRAIN MOTOR</t>
  </si>
  <si>
    <t>WHIRLPOOL R-600 RELAY</t>
  </si>
  <si>
    <t>WHIRLPOOL 1340 RELAY</t>
  </si>
  <si>
    <t xml:space="preserve">  LG DC INLET VALVE BLUE</t>
  </si>
  <si>
    <t>  </t>
  </si>
  <si>
    <t>1 PIN RELAY</t>
  </si>
  <si>
    <t>88 RELAY</t>
  </si>
  <si>
    <t>88 OLP</t>
  </si>
  <si>
    <t>4941 RELAY (GRATWAL)</t>
  </si>
  <si>
    <t>SAMSUNG RELAY</t>
  </si>
  <si>
    <t>4241 RELAY (GRATWAL)</t>
  </si>
  <si>
    <t>72 H3 OLP (ANUPURNA)</t>
  </si>
  <si>
    <t>AC RELAY (MICROTECH)</t>
  </si>
  <si>
    <t>WHIRLPOOL 1340 OLP</t>
  </si>
  <si>
    <t>LG SINGLE LINE SPIN LID</t>
  </si>
  <si>
    <t>LG DOUBLE LINE SPIN LID</t>
  </si>
  <si>
    <t>LG WIND JET DRY SPIN LID</t>
  </si>
  <si>
    <t>WHIRLPOOL SPIN LID</t>
  </si>
  <si>
    <t>VIDEOCON SPIN LID</t>
  </si>
  <si>
    <t>SAMSUNG SPIN LID AIR TURBO SPIN LID</t>
  </si>
  <si>
    <t>LG 10001 PULSATOR</t>
  </si>
  <si>
    <t>GODREJ 6502 GEAR BOX</t>
  </si>
  <si>
    <t>WHIRLPOOL OVER FLOW PIPE</t>
  </si>
  <si>
    <t>PATLA OVER FLOW PIPE</t>
  </si>
  <si>
    <t>OVER FLOW PIPE</t>
  </si>
  <si>
    <t>OVER FLOW PIPE WITH HOLDER</t>
  </si>
  <si>
    <t>4 PIN RELAY</t>
  </si>
  <si>
    <t>3 PIN RELAY</t>
  </si>
  <si>
    <t>2 PIN RELAY</t>
  </si>
  <si>
    <t>GODREJ EDGE FREEZER DOOR</t>
  </si>
  <si>
    <t>LG COCK PACK</t>
  </si>
  <si>
    <t>2,05,515</t>
  </si>
  <si>
    <t>DILEVERY CHARGE</t>
  </si>
  <si>
    <t>1,13,320</t>
  </si>
  <si>
    <t>MARUTI REFRIGERATION</t>
  </si>
  <si>
    <t xml:space="preserve">OLP </t>
  </si>
  <si>
    <t>LG SINGLE DOOR PCB</t>
  </si>
  <si>
    <t>3/8 FLAIR NUT/FLARE NUT</t>
  </si>
  <si>
    <t>1/4 FLAIR NUT/FLARE NUT</t>
  </si>
  <si>
    <t>5/16 FLAIR NUT/FLARE NUT</t>
  </si>
  <si>
    <t>1/2 FLAIR NUT/FLARE NUT</t>
  </si>
  <si>
    <t>5/8 * 1/2 RADUSER NUT</t>
  </si>
  <si>
    <t>1/4 SPLIT CAP</t>
  </si>
  <si>
    <t>1/2 SPLIT CAP</t>
  </si>
  <si>
    <t>3/8 SPLIT CAP</t>
  </si>
  <si>
    <t>BALL VALVE</t>
  </si>
  <si>
    <t xml:space="preserve">1/4 UNION </t>
  </si>
  <si>
    <t>5/8 FLAIR NUT /FLARE NUT</t>
  </si>
  <si>
    <t>410 CHARGING PIPE</t>
  </si>
  <si>
    <t>134 CHARGING PIPE</t>
  </si>
  <si>
    <t>TORCH (KOVEA)</t>
  </si>
  <si>
    <t>1 MFD MICROWAVE CAPACITOR(DIKEN)</t>
  </si>
  <si>
    <t>1/4 OUT DOOR VALVE</t>
  </si>
  <si>
    <t>1/2 OUTDOOR VALVE</t>
  </si>
  <si>
    <t>5/8 OUTDOOR VALVE</t>
  </si>
  <si>
    <t>IN0345</t>
  </si>
  <si>
    <t>IN0346</t>
  </si>
  <si>
    <t>IN0347</t>
  </si>
  <si>
    <t>IN0348</t>
  </si>
  <si>
    <t>IN0349</t>
  </si>
  <si>
    <t>IN0350</t>
  </si>
  <si>
    <t>IN0351</t>
  </si>
  <si>
    <t>IN0352</t>
  </si>
  <si>
    <t>IN0353</t>
  </si>
  <si>
    <t>IN0354</t>
  </si>
  <si>
    <t>IN0355</t>
  </si>
  <si>
    <t>IN0356</t>
  </si>
  <si>
    <t>IN0357</t>
  </si>
  <si>
    <t>IN0358</t>
  </si>
  <si>
    <t>IN0359</t>
  </si>
  <si>
    <t>IN0360</t>
  </si>
  <si>
    <t>IN0361</t>
  </si>
  <si>
    <t>IN0362</t>
  </si>
  <si>
    <t>BIG CLAMP METER (KOVEA)</t>
  </si>
  <si>
    <t>12 NO LED BULB</t>
  </si>
  <si>
    <t>14 NO LED BULB</t>
  </si>
  <si>
    <t>WIRE CUTTER /WIRE CUTTOR</t>
  </si>
  <si>
    <t>CONTINUTY TESTER</t>
  </si>
  <si>
    <t>LG DC DRAIN MOTOR</t>
  </si>
  <si>
    <t>LANCER PCB</t>
  </si>
  <si>
    <t>4000 UNIVERSAL PCB</t>
  </si>
  <si>
    <t>SWING MOTOR MIX</t>
  </si>
  <si>
    <t>50+4 MFD (MTECH)</t>
  </si>
  <si>
    <t>55+4 MFD (MTECH)</t>
  </si>
  <si>
    <t>45+4 MFD (UNIQ)</t>
  </si>
  <si>
    <t>FLARING TOOLS</t>
  </si>
  <si>
    <t>SAMSUNG CHOKE PCB</t>
  </si>
  <si>
    <t>7/1/2025 DIS 8.01.25</t>
  </si>
  <si>
    <t>HALINGS COPPER PIPE</t>
  </si>
  <si>
    <t>BIG LPG</t>
  </si>
  <si>
    <t>R-290 GODREJ</t>
  </si>
  <si>
    <t>HYDROCARBON GODREJ GAS</t>
  </si>
  <si>
    <t>R-600 GODREJ GAS</t>
  </si>
  <si>
    <t>FLORON 134 GAS</t>
  </si>
  <si>
    <t>R-32 1KG GAS CAN</t>
  </si>
  <si>
    <t>R-410 1KG GAS CAN</t>
  </si>
  <si>
    <t>R-22 1KG GAS CAN</t>
  </si>
  <si>
    <t>10/1/2025 DIS 8.01.25</t>
  </si>
  <si>
    <t>NLC (NET LANDING COST</t>
  </si>
  <si>
    <t>Total value</t>
  </si>
  <si>
    <t>Customer price</t>
  </si>
  <si>
    <t>BILL VALUE</t>
  </si>
  <si>
    <t>Genuine appliance spare parts dealer</t>
  </si>
  <si>
    <t>WHIRLPOOL Frosr Free TIMER LG TYPE</t>
  </si>
  <si>
    <t>WHIRLPOOL Frost Free TIMER</t>
  </si>
  <si>
    <t>Frost free TIMER Samsung</t>
  </si>
  <si>
    <t>WHIRLPOOL R-600 Thermostat</t>
  </si>
  <si>
    <t>24 pcs</t>
  </si>
  <si>
    <t>GODREJ R-134 PIN gas</t>
  </si>
  <si>
    <t>WELDING ROD</t>
  </si>
  <si>
    <t>27 pieces</t>
  </si>
  <si>
    <t>50 pcs</t>
  </si>
  <si>
    <t>20 pcs</t>
  </si>
  <si>
    <t xml:space="preserve">AMOUNT  </t>
  </si>
  <si>
    <t>36 INCH CAPLARY</t>
  </si>
  <si>
    <t>40 INCH CAPLARIY</t>
  </si>
  <si>
    <t>UNIVERSAL BUFFER RAJA</t>
  </si>
  <si>
    <t xml:space="preserve">LG BUFFER OLD TYPE </t>
  </si>
  <si>
    <t>WHIRLPOOL BUFFER OLD TYPE</t>
  </si>
  <si>
    <t>SAMSUNG 4 WIRE 15 MIN SINGLE WASH TIMER</t>
  </si>
  <si>
    <t>SAMSUNG 15 MIN SINGLE WASH TIMER</t>
  </si>
  <si>
    <t>SAMSUNG 15 MIN DOUBLE WASH TIMER</t>
  </si>
  <si>
    <t>WHIRLPOOL 6012 DOUBLE WASH TIMER</t>
  </si>
  <si>
    <t>SAMSUNG 4 WIRE 15 MIN DOUBLE WASH TIMER</t>
  </si>
  <si>
    <t>SAMSUNG 42 MIN DOUBLE WASH TIMER</t>
  </si>
  <si>
    <t>LG 4 WIRE 15 MIN DOUBLE WASH TIMER</t>
  </si>
  <si>
    <t>LG 4 WIRE SINGLE WASH TIMER</t>
  </si>
  <si>
    <t>40 T SPIN MOTOR</t>
  </si>
  <si>
    <t>40 T WASH MOTOR</t>
  </si>
  <si>
    <t>LG 42 MIN DOUBLE WASH TIMER</t>
  </si>
  <si>
    <t>LG 3 ROLLER PULSATOR MEDIUM OLD</t>
  </si>
  <si>
    <t>VOLTAS BECKO PULSATOR</t>
  </si>
  <si>
    <t>GODREJ 4 FULLY PULSATOR</t>
  </si>
  <si>
    <t>SAMSUNG 4 FULLY PULSATOR</t>
  </si>
  <si>
    <t>SAMSUNG 3 ROLLER PULSATOR</t>
  </si>
  <si>
    <t>HAIER PULSATOR</t>
  </si>
  <si>
    <t>21 NO GEAR BOX</t>
  </si>
  <si>
    <t>11 NO GEAR BOX</t>
  </si>
  <si>
    <t>3 MTR INLET PIPE GODREJ</t>
  </si>
  <si>
    <t>SINGLE MANIFOLD GAUGE  350 PSI(DVM)</t>
  </si>
  <si>
    <t>LG STAR 1 VEG BOX</t>
  </si>
  <si>
    <t>SAMSUNG VEG BOX</t>
  </si>
  <si>
    <t>STAR 1.5 VEG BOX</t>
  </si>
  <si>
    <t>STAR 1.5 FREEZER DOOR</t>
  </si>
  <si>
    <t>GODREJ 8 HOURS FROST FREE TIMER</t>
  </si>
  <si>
    <t>WHIRLPOOL RBI THERMOSTAT</t>
  </si>
  <si>
    <t>LG DOOR LOCK FRONT LOAD</t>
  </si>
  <si>
    <t>SAMSUNG DOOR LOCK FRONT LOAD</t>
  </si>
  <si>
    <t>IFB DOOR LOCK FRONT LOAD</t>
  </si>
  <si>
    <t>HMB MAGIC FITTER</t>
  </si>
  <si>
    <t>VIJAY MAGIC FITTER</t>
  </si>
  <si>
    <t>ANUPOORNA MAGIC FILTER</t>
  </si>
  <si>
    <t>GODREJ POUCH CAPLARY</t>
  </si>
  <si>
    <t>SAMSUNG THERMOSTAT</t>
  </si>
  <si>
    <t xml:space="preserve">LG FROST FREE TIMER </t>
  </si>
  <si>
    <t>WHIRLPOOL BIMETAL</t>
  </si>
  <si>
    <t>WHIRLPOOL THARMAL FUSE</t>
  </si>
  <si>
    <t xml:space="preserve">LG BIMETAL </t>
  </si>
  <si>
    <t>SAMSUNG BIMETAL</t>
  </si>
  <si>
    <t>T-11 THERMOSTAT(ANUPURNA)</t>
  </si>
  <si>
    <t>GODREJ 36 NO THERMOSTAT</t>
  </si>
  <si>
    <t>WHIRLPOOL OPERA THERMOSTAT</t>
  </si>
  <si>
    <t>GODREJ SINGLE INLET VALVE OLD</t>
  </si>
  <si>
    <t>LG DOUBLE DC INLET VALVE RED BLUE</t>
  </si>
  <si>
    <t>LG THERMOSTAT</t>
  </si>
  <si>
    <t>LG OLD  THERMOSTAT</t>
  </si>
  <si>
    <t>1 MFD BLACK CAPACITOR</t>
  </si>
  <si>
    <t>2 MFD BLACK CAPACITOR</t>
  </si>
  <si>
    <t>3 MFD BLACK CAPACITOR</t>
  </si>
  <si>
    <t>5 MFD BLACK CAPACITOR</t>
  </si>
  <si>
    <t>2.5 MFD BLACK CAPACITOR</t>
  </si>
  <si>
    <t>3.15 MFD BLACK CAPACITOR</t>
  </si>
  <si>
    <t>1.5 MFD BLACK CAPACITOR</t>
  </si>
  <si>
    <t>LG DRAIN VALVE</t>
  </si>
  <si>
    <t>SAMSUNG DRAIN VALVE</t>
  </si>
  <si>
    <t>IFB DRAIN VALVE</t>
  </si>
  <si>
    <t>GODREJ APOXY</t>
  </si>
  <si>
    <t>VOLTAS BECKO FAST DRY SPIN LID</t>
  </si>
  <si>
    <t>HAIER MAGIC FITTER</t>
  </si>
  <si>
    <t>GODREJ EDGE FREEZER FRAME</t>
  </si>
  <si>
    <t>SAMSUNG DC FAN SQUIRE</t>
  </si>
  <si>
    <t>LG DC FAN SQUIRE</t>
  </si>
  <si>
    <t>5/16 DEAD NUT/DEAD NUT</t>
  </si>
  <si>
    <t>1/4 DEAD NUT/DEAD NUT</t>
  </si>
  <si>
    <t>GAS CYLINDER VALVE</t>
  </si>
  <si>
    <t>WHIRLPOOL HINGE</t>
  </si>
  <si>
    <t>LG HINGE</t>
  </si>
  <si>
    <t>SAMSUNG HINGE</t>
  </si>
  <si>
    <t>2 WAY FILTER VIJAY</t>
  </si>
  <si>
    <t>3 WAY FILTER VIJAY</t>
  </si>
  <si>
    <t>4 WAY FILTER VIJAY</t>
  </si>
  <si>
    <t>5 MFD ROUND CAPACITOR</t>
  </si>
  <si>
    <t>6 MFD ROUND CAPACITOR</t>
  </si>
  <si>
    <t>3 MFD ROUND CAPACITOR</t>
  </si>
  <si>
    <t>4 MFD ROUND CAPACITOR</t>
  </si>
  <si>
    <t>10 MFD ROUND CAPACITOR</t>
  </si>
  <si>
    <t>9+5 MFD ROUND CAPACITOR  (DIKEN)</t>
  </si>
  <si>
    <t>10+5 MFD CAPACITOR (JKB)</t>
  </si>
  <si>
    <t>11+6 MFD CAPACITOR (JKB)</t>
  </si>
  <si>
    <t>12+5 MFD CAPACITOR (JKB)</t>
  </si>
  <si>
    <t>2.5 MFD CAPACITOR ROUND</t>
  </si>
  <si>
    <t>FILTER ADAPTOR</t>
  </si>
  <si>
    <t>80+100 MFD CAPACITOR (CONCAP)</t>
  </si>
  <si>
    <t>40+60 MFD CAPACITOR (CONCAP)</t>
  </si>
  <si>
    <t>60+80 MFD CAPACITOR</t>
  </si>
  <si>
    <t>36 MFD (MTECH) CAPACITOR</t>
  </si>
  <si>
    <t>50 MFD (MTECH) CAPACITOR</t>
  </si>
  <si>
    <t>45 MFD (MTECH) CAPACITOR</t>
  </si>
  <si>
    <t>120+150 MFD (DIKEN) CAPACITOR</t>
  </si>
  <si>
    <t>150+200 MFD (DIKEN) CAPACITOR</t>
  </si>
  <si>
    <t>100+120 MFD (DIKEN) CAPACITOR</t>
  </si>
  <si>
    <t>55 MFD (DIKEN) CAPACITOR</t>
  </si>
  <si>
    <t>1/2 BINDER /BINDER /BINDER</t>
  </si>
  <si>
    <t>5/8 BINDER/ BINDER/BINDER</t>
  </si>
  <si>
    <t>1/2 INDOOR BINDER</t>
  </si>
  <si>
    <t>5/8 INDOOR BINDER</t>
  </si>
  <si>
    <t>LG FROST FREE THERMOSTAT</t>
  </si>
  <si>
    <t>WHIRLPOOL FROST FREE THERMOSTAT</t>
  </si>
  <si>
    <t>SAMSUNG FROST FREE THERMOSTAT</t>
  </si>
  <si>
    <t>WHIRLPOOL TAP ADAPTOR</t>
  </si>
  <si>
    <t>WHIRLPOOL DUMP VALUE ASS</t>
  </si>
  <si>
    <t>WHIRLPOOL DRAIN MOTOR ASS</t>
  </si>
  <si>
    <t>4 INCH AC AXIAL FAN MOTOR</t>
  </si>
  <si>
    <t>6 INCH AC AXIAL FAN MOTOR</t>
  </si>
  <si>
    <t>6120 FAN MOTOR(RAISE)</t>
  </si>
  <si>
    <t>DOUBLE MANIFOLD GAUGE 134 (BLASK)</t>
  </si>
  <si>
    <t>COCK DRAIN VAVLE RUBBER</t>
  </si>
  <si>
    <t>DRAIN PIPE 2 MTR</t>
  </si>
  <si>
    <t>DRAIN PIPE 3 MTR</t>
  </si>
  <si>
    <t>1/2 104 RS FIT+1/4 40 RS FIT</t>
  </si>
  <si>
    <t>SAMSUNG SPIN MOTOR W.P(DVM)</t>
  </si>
  <si>
    <t>LG SPIN MOTOR W.P (DVM)</t>
  </si>
  <si>
    <t>UNIVERSAL SPIN MOTOR W.P (DVM)</t>
  </si>
  <si>
    <t>DRIER ANNPURNA</t>
  </si>
  <si>
    <t>SEMI AUTO 2MTR INLET PIPE</t>
  </si>
  <si>
    <t>LUSTURE LG</t>
  </si>
  <si>
    <t>IN0363</t>
  </si>
  <si>
    <t>IN0364</t>
  </si>
  <si>
    <t>IN0365</t>
  </si>
  <si>
    <t>IN0366</t>
  </si>
  <si>
    <t>IN0367</t>
  </si>
  <si>
    <t>IN0368</t>
  </si>
  <si>
    <t>IN0369</t>
  </si>
  <si>
    <t>IN0370</t>
  </si>
  <si>
    <t>IN0371</t>
  </si>
  <si>
    <t>IN0372</t>
  </si>
  <si>
    <t>IN0373</t>
  </si>
  <si>
    <t>IN0374</t>
  </si>
  <si>
    <t>IN0375</t>
  </si>
  <si>
    <t>IN0376</t>
  </si>
  <si>
    <t>IN0377</t>
  </si>
  <si>
    <t>IN0378</t>
  </si>
  <si>
    <t>IN0379</t>
  </si>
  <si>
    <t>IN0380</t>
  </si>
  <si>
    <t>IN0381</t>
  </si>
  <si>
    <t>IN0382</t>
  </si>
  <si>
    <t>IN0383</t>
  </si>
  <si>
    <t>IN0384</t>
  </si>
  <si>
    <t>IN0385</t>
  </si>
  <si>
    <t>IN0387</t>
  </si>
  <si>
    <t>IN0388</t>
  </si>
  <si>
    <t>IN0389</t>
  </si>
  <si>
    <t>IN0390</t>
  </si>
  <si>
    <t>IN0391</t>
  </si>
  <si>
    <t>IN0392</t>
  </si>
  <si>
    <t>IN0393</t>
  </si>
  <si>
    <t>IN0394</t>
  </si>
  <si>
    <t>IN0395</t>
  </si>
  <si>
    <t>IN0396</t>
  </si>
  <si>
    <t>IN0397</t>
  </si>
  <si>
    <t>IN0398</t>
  </si>
  <si>
    <t>IN0399</t>
  </si>
  <si>
    <t>IN0400</t>
  </si>
  <si>
    <t>IN0401</t>
  </si>
  <si>
    <t>IN0402</t>
  </si>
  <si>
    <t>IN0403</t>
  </si>
  <si>
    <t>IN0404</t>
  </si>
  <si>
    <t>IN0405</t>
  </si>
  <si>
    <t>IN0406</t>
  </si>
  <si>
    <t>IN0407</t>
  </si>
  <si>
    <t>IN0408</t>
  </si>
  <si>
    <t>IN0409</t>
  </si>
  <si>
    <t>IN0410</t>
  </si>
  <si>
    <t>IN0411</t>
  </si>
  <si>
    <t>IN0412</t>
  </si>
  <si>
    <t>IN0413</t>
  </si>
  <si>
    <t>IN0414</t>
  </si>
  <si>
    <t>IN0415</t>
  </si>
  <si>
    <t>IN0416</t>
  </si>
  <si>
    <t>IN0417</t>
  </si>
  <si>
    <t>IN0418</t>
  </si>
  <si>
    <t>IN0419</t>
  </si>
  <si>
    <t>IN0420</t>
  </si>
  <si>
    <t>IN0421</t>
  </si>
  <si>
    <t>IN0422</t>
  </si>
  <si>
    <t>IN0423</t>
  </si>
  <si>
    <t>IN0424</t>
  </si>
  <si>
    <t>IN0425</t>
  </si>
  <si>
    <t>IN0426</t>
  </si>
  <si>
    <t>IN0427</t>
  </si>
  <si>
    <t>IN0428</t>
  </si>
  <si>
    <t>IN0429</t>
  </si>
  <si>
    <t>IN0430</t>
  </si>
  <si>
    <t>IN0431</t>
  </si>
  <si>
    <t>IN0432</t>
  </si>
  <si>
    <t>IN0433</t>
  </si>
  <si>
    <t>IN0434</t>
  </si>
  <si>
    <t>IN0435</t>
  </si>
  <si>
    <t>IN0436</t>
  </si>
  <si>
    <t>IN0437</t>
  </si>
  <si>
    <t>IN0438</t>
  </si>
  <si>
    <t>IN0439</t>
  </si>
  <si>
    <t>IN0440</t>
  </si>
  <si>
    <t>IN0441</t>
  </si>
  <si>
    <t>IN0442</t>
  </si>
  <si>
    <t>IN0443</t>
  </si>
  <si>
    <t>IN0444</t>
  </si>
  <si>
    <t>IN0445</t>
  </si>
  <si>
    <t>IN0446</t>
  </si>
  <si>
    <t>IN0447</t>
  </si>
  <si>
    <t>IN0448</t>
  </si>
  <si>
    <t>IN0449</t>
  </si>
  <si>
    <t>IN0450</t>
  </si>
  <si>
    <t>IN0451</t>
  </si>
  <si>
    <t>NA</t>
  </si>
  <si>
    <t xml:space="preserve">DVM MOTOR STOCK OVER </t>
  </si>
  <si>
    <t>SMALL CLAMP METER</t>
  </si>
  <si>
    <t>TAP ADAPTOR/INLET</t>
  </si>
  <si>
    <t>20pcs</t>
  </si>
  <si>
    <t>WHIRPOOL BULB,10-12 NO</t>
  </si>
  <si>
    <t>Door switch double</t>
  </si>
  <si>
    <t xml:space="preserve">Door switch godrej </t>
  </si>
  <si>
    <t>Remaining</t>
  </si>
  <si>
    <t>250 MM TIE CABLE/CABAL</t>
  </si>
  <si>
    <t>Godrej Chamber 01068</t>
  </si>
  <si>
    <t>Godrej chamber 00214</t>
  </si>
  <si>
    <t>2 MTR FULLY PIPE</t>
  </si>
  <si>
    <t xml:space="preserve">3 MTR FULLY PIPE </t>
  </si>
  <si>
    <t>G06877</t>
  </si>
  <si>
    <t>DIGITAL THERMOMETER</t>
  </si>
  <si>
    <t>FLUX ROUND SMALL</t>
  </si>
  <si>
    <t>VIDEOCON DOUBLE WASH TIMER 42 MIN OLD</t>
  </si>
  <si>
    <t>VIDEOCON SPIN TIMER</t>
  </si>
  <si>
    <t>WHIRLPOOL 15 MIN 4 WIRE SINGLE WASH  TIMER</t>
  </si>
  <si>
    <t>HAIER 15 MIN SINGLE WASH TIMER</t>
  </si>
  <si>
    <t>HAIER 35 MIN SINGLE WASH TIMER</t>
  </si>
  <si>
    <t>VOLTAS 8 WIRE 35 MIN SINGLE WASH TIMER BECKO</t>
  </si>
  <si>
    <t>ELX 15 MIN 7 WIRE SINGLE WASH TIMER</t>
  </si>
  <si>
    <t>TORCH DOUBLE MOUTH</t>
  </si>
  <si>
    <t>MAGNATRON 610</t>
  </si>
  <si>
    <t>MAGNATRON L G</t>
  </si>
  <si>
    <t xml:space="preserve">MAGNATRON SAMSUNG </t>
  </si>
  <si>
    <t>DIODE DOUBLE MICRO WAVE</t>
  </si>
  <si>
    <t>DIODE SINGLE MICRO WAVE</t>
  </si>
  <si>
    <t>AC DRAIN PIPE</t>
  </si>
  <si>
    <t>LID SWITCH W/M WHITE</t>
  </si>
  <si>
    <t>1/4 LIQUID DRIER WHITE PACK</t>
  </si>
  <si>
    <t>SAMSUNG FAN MOTOR DC SQUARE</t>
  </si>
  <si>
    <t>L G FROST FREE SENSOR</t>
  </si>
  <si>
    <t>FLAME GUN TORCH</t>
  </si>
  <si>
    <t>IN0386</t>
  </si>
  <si>
    <t>GODREJ OVER FLOW PIPE INNER HOSE</t>
  </si>
  <si>
    <t>EDGE PRO COOLING COIL GODREJ OO211</t>
  </si>
  <si>
    <t>AC INSULATION FOAM 1/2</t>
  </si>
  <si>
    <t>AC INSULATION FOAM 1/4</t>
  </si>
  <si>
    <t>TOOLS BAG SAMSUNG,L.G</t>
  </si>
  <si>
    <t>TOOLS BAG LEATHER L.G</t>
  </si>
  <si>
    <t>I BLUE DETERGENT LIQUID GODREJ</t>
  </si>
  <si>
    <t>FROST CARE TIMER GODREJ</t>
  </si>
  <si>
    <t>WHIRLPOOL PRESSURE SENSOR</t>
  </si>
  <si>
    <t>SALES IN</t>
  </si>
  <si>
    <t>10001DP11065690</t>
  </si>
  <si>
    <t>GODREJ SPD CHANNEL</t>
  </si>
  <si>
    <t>D.C -1100</t>
  </si>
  <si>
    <t>BUNT363</t>
  </si>
  <si>
    <t>bunt364</t>
  </si>
  <si>
    <t>BUNT365</t>
  </si>
  <si>
    <t>Column1</t>
  </si>
  <si>
    <t>10001DP11065122</t>
  </si>
  <si>
    <t>COMBINED</t>
  </si>
  <si>
    <t>GODREJ CONDENSOR COIL 200L</t>
  </si>
  <si>
    <t>GODREJ CONDENSOR COIL 250L</t>
  </si>
  <si>
    <t>10001DP11065643</t>
  </si>
  <si>
    <t>26/02/25</t>
  </si>
  <si>
    <t>FLEXKWIK GLUE</t>
  </si>
  <si>
    <t>FROM MARKET</t>
  </si>
  <si>
    <t>PULSATOR SCREW</t>
  </si>
  <si>
    <t xml:space="preserve">ANTIMOIST </t>
  </si>
  <si>
    <t>STAR I FREEZER DOOR</t>
  </si>
  <si>
    <t>LG CHILL TRAY</t>
  </si>
  <si>
    <t>VOLTAS AC INDOOR MOTOR</t>
  </si>
  <si>
    <t>GODREJ DOOR SWITCH</t>
  </si>
  <si>
    <t>1/2,1/4 COPPER(MPCL)</t>
  </si>
  <si>
    <t>5/8 COPPER(GODREJ)</t>
  </si>
  <si>
    <t>WHIRLPOOL 170L CONDENSOR COIL</t>
  </si>
  <si>
    <t>WHIRLPOOL 220L CONDENSOR COIL</t>
  </si>
  <si>
    <t>3552(3/3/25)</t>
  </si>
  <si>
    <t>2,00,000</t>
  </si>
  <si>
    <t>IN0452</t>
  </si>
  <si>
    <t>IN0453</t>
  </si>
  <si>
    <t>IN0454</t>
  </si>
  <si>
    <t>IN0455</t>
  </si>
  <si>
    <t>IN0456</t>
  </si>
  <si>
    <t>IN0457</t>
  </si>
  <si>
    <t>IN0458</t>
  </si>
  <si>
    <t>IN0459</t>
  </si>
  <si>
    <t>IN0460</t>
  </si>
  <si>
    <t>IN0461</t>
  </si>
  <si>
    <t>IN0462</t>
  </si>
  <si>
    <t>IN0463</t>
  </si>
  <si>
    <t>IN0464</t>
  </si>
  <si>
    <t>IN0465</t>
  </si>
  <si>
    <t>IN0466</t>
  </si>
  <si>
    <t>IN0467</t>
  </si>
  <si>
    <t>IN0468</t>
  </si>
  <si>
    <t>IN0469</t>
  </si>
  <si>
    <t>IN0470</t>
  </si>
  <si>
    <t>IN0471</t>
  </si>
  <si>
    <t>IN0472</t>
  </si>
  <si>
    <t>IN0473</t>
  </si>
  <si>
    <t>IN0474</t>
  </si>
  <si>
    <t>IN0475</t>
  </si>
  <si>
    <t>IN0476</t>
  </si>
  <si>
    <t>IN0477</t>
  </si>
  <si>
    <t>IN0478</t>
  </si>
  <si>
    <t>IN0479</t>
  </si>
  <si>
    <t>IN0480</t>
  </si>
  <si>
    <t>IN0481</t>
  </si>
  <si>
    <t>IN0482</t>
  </si>
  <si>
    <t>IN0483</t>
  </si>
  <si>
    <t>IN0484</t>
  </si>
  <si>
    <t>IN0485</t>
  </si>
  <si>
    <t>IN0486</t>
  </si>
  <si>
    <t>IN0487</t>
  </si>
  <si>
    <t>IN0488</t>
  </si>
  <si>
    <t>IN0489</t>
  </si>
  <si>
    <t>IN0490</t>
  </si>
  <si>
    <t>IN0491</t>
  </si>
  <si>
    <t>IN0492</t>
  </si>
  <si>
    <t>IN0493</t>
  </si>
  <si>
    <t>IN0494</t>
  </si>
  <si>
    <t>IN0495</t>
  </si>
  <si>
    <t>IN0496</t>
  </si>
  <si>
    <t>IN0497</t>
  </si>
  <si>
    <t>IN0498</t>
  </si>
  <si>
    <t>IN0499</t>
  </si>
  <si>
    <t>IN0500</t>
  </si>
  <si>
    <t>IN0501</t>
  </si>
  <si>
    <t>IN0502</t>
  </si>
  <si>
    <t>IN0503</t>
  </si>
  <si>
    <t>IN0504</t>
  </si>
  <si>
    <t>IN0505</t>
  </si>
  <si>
    <t>IN0507</t>
  </si>
  <si>
    <t>IN0508</t>
  </si>
  <si>
    <t>IN0509</t>
  </si>
  <si>
    <t>IN0510</t>
  </si>
  <si>
    <t>IN0511</t>
  </si>
  <si>
    <t>LG STAR I BOTTLE SHELF</t>
  </si>
  <si>
    <t>MICROWAVE FUSE</t>
  </si>
  <si>
    <t>MICROWAVE LID SWITCH</t>
  </si>
  <si>
    <t>GODREJ BLDC PCB(02408)</t>
  </si>
  <si>
    <t>GODREJ MINI BLDC PCB(02839)</t>
  </si>
  <si>
    <t>GODREJ MINI 3 JACK PCB(01842)</t>
  </si>
  <si>
    <t>GODREJ KNOB PCB(02824)</t>
  </si>
  <si>
    <t>ANNAPURNA DRIER</t>
  </si>
  <si>
    <t>R-290 OIL 250ML</t>
  </si>
  <si>
    <t>R-32 OIL 250ML</t>
  </si>
  <si>
    <t>BATALI SERVICE MACHINE</t>
  </si>
  <si>
    <t>SAMSUNG NEW LED BULB</t>
  </si>
  <si>
    <t>26MM DRILL MACHINE</t>
  </si>
  <si>
    <t>VACCUM PUMP(CAMPIRO)</t>
  </si>
  <si>
    <t>BATALI SERVICE PIPE</t>
  </si>
  <si>
    <t>BATALI SERVICE GUN</t>
  </si>
  <si>
    <t>LG DRAIN ASSEMBLY(GODREJ)</t>
  </si>
  <si>
    <t>3553(3/3/25)</t>
  </si>
  <si>
    <t>R-134 OIL UNICLA</t>
  </si>
  <si>
    <t>R-134 OIL SANDEN</t>
  </si>
  <si>
    <t>WHIRLPOOL WASHING MACHINE DOOR SWITCH</t>
  </si>
  <si>
    <t>COIL SHINE</t>
  </si>
  <si>
    <t>CONDENSOR CLEANER SPRAY</t>
  </si>
  <si>
    <t>PLASTIC POLYTHENE PACKET</t>
  </si>
  <si>
    <t>3554(3/3/25)</t>
  </si>
  <si>
    <t xml:space="preserve">WHIRLPOOL GENIUS VEG TRAY COVER </t>
  </si>
  <si>
    <t>INSULATION FOAM 5/8(90 PIPE_</t>
  </si>
  <si>
    <t>GODREJ DRAIN PIPE 2 MTR</t>
  </si>
  <si>
    <t>LG COMPRESSOR MA 42</t>
  </si>
  <si>
    <t>LG COMPRESSOR MA 53</t>
  </si>
  <si>
    <t>CAMIPRO COMPRESSOR 1.5 TON AC(GMCC)</t>
  </si>
  <si>
    <t>HITACHI 1.5 TON COMPRESSOR(HIGHLY)</t>
  </si>
  <si>
    <t>2 MTR DRAIN PIPE FRONTLOAD (IFB)</t>
  </si>
  <si>
    <t>SCROLL COMPRESSOR(8 TON)</t>
  </si>
  <si>
    <t>7864(3/3/25)</t>
  </si>
  <si>
    <t>3 PIN MAIN CORD</t>
  </si>
  <si>
    <t>9V BATTERY(HW)</t>
  </si>
  <si>
    <t>FUSE (BIG)</t>
  </si>
  <si>
    <t>JORRIK SPRAY (MEDIUM)</t>
  </si>
  <si>
    <t>2032 BATTERY CELL</t>
  </si>
  <si>
    <t>10 WATT LED BULB</t>
  </si>
  <si>
    <t>06 WIRE CUTTER EGO</t>
  </si>
  <si>
    <t>07 WIRE CUTTER EGO</t>
  </si>
  <si>
    <t>WIRE CUTTER 150 BLUE</t>
  </si>
  <si>
    <t>CLAMP METER WIRE</t>
  </si>
  <si>
    <t>CLAMP METER WIRE ORIGINAL</t>
  </si>
  <si>
    <t>25 WATT SOLDING IRON ROD(SMAILL)</t>
  </si>
  <si>
    <t>25 WATT SOLDING IRON ROD(BIG)</t>
  </si>
  <si>
    <t>LINE TESTER (BEST)</t>
  </si>
  <si>
    <t>LINE TESTER (DUP)</t>
  </si>
  <si>
    <t>LEVEL SCALE</t>
  </si>
  <si>
    <t>DRILL BIT 3/16 WALL</t>
  </si>
  <si>
    <t xml:space="preserve">ALLEN KEY 5MM </t>
  </si>
  <si>
    <t>ALLEN KEY 6MM</t>
  </si>
  <si>
    <t>1.5 INCH PLASTIC GULLY PER PACKET</t>
  </si>
  <si>
    <t>2 INCH PLASTIC GULLY PER PACKET</t>
  </si>
  <si>
    <t>DIAL WRICH 10*11 RINCH</t>
  </si>
  <si>
    <t>DIAL WRICH 12*13 RINCH</t>
  </si>
  <si>
    <t>3 MTR MEASUREMENT TAPE</t>
  </si>
  <si>
    <t>DIAL WRICH 14*15 RINCH</t>
  </si>
  <si>
    <t>5 MTR MEASUREMENT TAPE</t>
  </si>
  <si>
    <t>CELLO TAPE 6 PCS PACK</t>
  </si>
  <si>
    <t>LATTO PECHKAS SCREW DRIVER</t>
  </si>
  <si>
    <t>PECHKASS 6 NO SCREW DRIVER</t>
  </si>
  <si>
    <t>PECHKASS 8 NO SCREW DRIVER</t>
  </si>
  <si>
    <t>PECHKASS 10 NO SCREW DRIVER</t>
  </si>
  <si>
    <t>PECHKASS 12 NO SCREW DRIVER</t>
  </si>
  <si>
    <t>PECHKASS 14 NO SCREW DRIVER</t>
  </si>
  <si>
    <t>NOSE PILAAS</t>
  </si>
  <si>
    <t>PILAAS 8 NO</t>
  </si>
  <si>
    <t>SHREE RASSI</t>
  </si>
  <si>
    <t>IN0512</t>
  </si>
  <si>
    <t>IN0513</t>
  </si>
  <si>
    <t>IN0514</t>
  </si>
  <si>
    <t>IN0515</t>
  </si>
  <si>
    <t>IN0516</t>
  </si>
  <si>
    <t>IN0517</t>
  </si>
  <si>
    <t>IN0518</t>
  </si>
  <si>
    <t>IN0519</t>
  </si>
  <si>
    <t>IN0520</t>
  </si>
  <si>
    <t>IN0521</t>
  </si>
  <si>
    <t>IN0522</t>
  </si>
  <si>
    <t>IN0523</t>
  </si>
  <si>
    <t>IN0524</t>
  </si>
  <si>
    <t>IN0525</t>
  </si>
  <si>
    <t>IN0526</t>
  </si>
  <si>
    <t>IN0527</t>
  </si>
  <si>
    <t>IN0528</t>
  </si>
  <si>
    <t>IN0529</t>
  </si>
  <si>
    <t>IN0530</t>
  </si>
  <si>
    <t>IN0531</t>
  </si>
  <si>
    <t>IN0532</t>
  </si>
  <si>
    <t>IN0533</t>
  </si>
  <si>
    <t>IN0534</t>
  </si>
  <si>
    <t>IN0535</t>
  </si>
  <si>
    <t>IN0536</t>
  </si>
  <si>
    <t>IN0537</t>
  </si>
  <si>
    <t>IN0538</t>
  </si>
  <si>
    <t>IN0539</t>
  </si>
  <si>
    <t>IN0540</t>
  </si>
  <si>
    <t>IN0541</t>
  </si>
  <si>
    <t>IN0542</t>
  </si>
  <si>
    <t>IN0544</t>
  </si>
  <si>
    <t>IN0545</t>
  </si>
  <si>
    <t>IN0546</t>
  </si>
  <si>
    <t>IN0547</t>
  </si>
  <si>
    <t>IN0548</t>
  </si>
  <si>
    <t>IN0553</t>
  </si>
  <si>
    <t>IN0554</t>
  </si>
  <si>
    <t>IN0555</t>
  </si>
  <si>
    <t>IN0556</t>
  </si>
  <si>
    <t>IN0557</t>
  </si>
  <si>
    <t>IN0558</t>
  </si>
  <si>
    <t>IN0559</t>
  </si>
  <si>
    <t>IN0560</t>
  </si>
  <si>
    <t>IN0561</t>
  </si>
  <si>
    <t>IN0562</t>
  </si>
  <si>
    <t>IN0563</t>
  </si>
  <si>
    <t>IN0564</t>
  </si>
  <si>
    <t>IN0565</t>
  </si>
  <si>
    <t>IN0566</t>
  </si>
  <si>
    <t>IN0567</t>
  </si>
  <si>
    <t>IN0568</t>
  </si>
  <si>
    <t>IN0569</t>
  </si>
  <si>
    <t>IN0570</t>
  </si>
  <si>
    <t>IN0571</t>
  </si>
  <si>
    <t>IN0572</t>
  </si>
  <si>
    <t>IN0573</t>
  </si>
  <si>
    <t>IN0574</t>
  </si>
  <si>
    <t>IN0575</t>
  </si>
  <si>
    <t>IN0576</t>
  </si>
  <si>
    <t>IN0577</t>
  </si>
  <si>
    <t>IN0578</t>
  </si>
  <si>
    <t>IN0579</t>
  </si>
  <si>
    <t>IN0580</t>
  </si>
  <si>
    <t>IN0581</t>
  </si>
  <si>
    <t>IN0582</t>
  </si>
  <si>
    <t>IN0583</t>
  </si>
  <si>
    <t>IN0584</t>
  </si>
  <si>
    <t>IN0585</t>
  </si>
  <si>
    <t>IN0586</t>
  </si>
  <si>
    <t>IN0587</t>
  </si>
  <si>
    <t>IN0590</t>
  </si>
  <si>
    <t>IN0591</t>
  </si>
  <si>
    <t>IN0593</t>
  </si>
  <si>
    <t>IN0594</t>
  </si>
  <si>
    <t>IN0595</t>
  </si>
  <si>
    <t>IN0596</t>
  </si>
  <si>
    <t>IN0597</t>
  </si>
  <si>
    <t>IN0598</t>
  </si>
  <si>
    <t>IN0599</t>
  </si>
  <si>
    <t>IN0600</t>
  </si>
  <si>
    <t>IN0601</t>
  </si>
  <si>
    <t>IN0602</t>
  </si>
  <si>
    <t>IN0604</t>
  </si>
  <si>
    <t>IN0605</t>
  </si>
  <si>
    <t>IN0606</t>
  </si>
  <si>
    <t>IN0607</t>
  </si>
  <si>
    <t>IN0608</t>
  </si>
  <si>
    <t>IN0609</t>
  </si>
  <si>
    <t>IN0610</t>
  </si>
  <si>
    <t>IN0611</t>
  </si>
  <si>
    <t>IN0612</t>
  </si>
  <si>
    <t>IN0613</t>
  </si>
  <si>
    <t>IN0614</t>
  </si>
  <si>
    <t>IN0615</t>
  </si>
  <si>
    <t>IN0616</t>
  </si>
  <si>
    <t>IN0617</t>
  </si>
  <si>
    <t>IN0618</t>
  </si>
  <si>
    <t>IN0619</t>
  </si>
  <si>
    <t>IN0620</t>
  </si>
  <si>
    <t>IN0621</t>
  </si>
  <si>
    <t>IN0622</t>
  </si>
  <si>
    <t>IN0623</t>
  </si>
  <si>
    <t>IN0624</t>
  </si>
  <si>
    <t>IN0625</t>
  </si>
  <si>
    <t>IN0626</t>
  </si>
  <si>
    <t>IN0627</t>
  </si>
  <si>
    <t>IN0628</t>
  </si>
  <si>
    <t>IN0629</t>
  </si>
  <si>
    <t>IN0630</t>
  </si>
  <si>
    <t>IN0631</t>
  </si>
  <si>
    <t>IN0632</t>
  </si>
  <si>
    <t>INSULATION FOAM 1/4</t>
  </si>
  <si>
    <t>INSULATION FOAM 1/2</t>
  </si>
  <si>
    <t>VEG BOX CRISPER COVER WHIRLPOOL BIG</t>
  </si>
  <si>
    <t>SKY TECH ODU STAND 2500 GM</t>
  </si>
  <si>
    <t>VOLTAS AC STABLIZER 4KV 130-280</t>
  </si>
  <si>
    <t>GODREJ AC STABLIZER 4KVA 130-280</t>
  </si>
  <si>
    <t>GODREJ FRIDGE STABLIZER 0.5 KVA(120-280)</t>
  </si>
  <si>
    <t>GODREJ DEFROST TIMER 0-12HR</t>
  </si>
  <si>
    <t xml:space="preserve"> GODREJ SPIN MOTOR 70 WAT (00385)</t>
  </si>
  <si>
    <t>GODREJ INTAKE VALVE</t>
  </si>
  <si>
    <t>GODREJ FREEZER DOOR ASS EDGE PRO</t>
  </si>
  <si>
    <t>GODREJ PCB A SPIN BASE Q1 REF D/D(02824)</t>
  </si>
  <si>
    <t>GODREJ THERMOSTAT DOUBLE DOOR(00038)</t>
  </si>
  <si>
    <t>GODREJ GEAR BOX ASS GWS 7002 PPC</t>
  </si>
  <si>
    <t xml:space="preserve"> GODREJ DRAIN MOTOR</t>
  </si>
  <si>
    <t xml:space="preserve"> GODREJ RELAY (00178)</t>
  </si>
  <si>
    <t>GODREJ WATER LEVEL SENSOR</t>
  </si>
  <si>
    <t>3 CORE WIRE (36.6)</t>
  </si>
  <si>
    <t>4 CORE WIRE (50) INVERTOR AC</t>
  </si>
  <si>
    <t>HARDWARE SHOP</t>
  </si>
  <si>
    <t>BUNTY BHAIYA</t>
  </si>
  <si>
    <t xml:space="preserve">Saukat items and table </t>
  </si>
  <si>
    <t>10 INCH SALAI WRENCH</t>
  </si>
  <si>
    <t>08 INCH SALAI WRENCH</t>
  </si>
  <si>
    <t>DRILL BIT 5/16 STEEL</t>
  </si>
  <si>
    <t>1/4 DRILL BIT WALL</t>
  </si>
  <si>
    <t>L.G  freezer door</t>
  </si>
  <si>
    <t>PIN FASTNER 3INCH 70</t>
  </si>
  <si>
    <t>LG BIOMETAL + SENSOR</t>
  </si>
  <si>
    <t>CAR AC KNOB NOB NOBE</t>
  </si>
  <si>
    <t xml:space="preserve">R 134 / R-134 KNOB / </t>
  </si>
  <si>
    <t>ADUPTOR / ADUPTOR</t>
  </si>
  <si>
    <t>ADUPTOR  STEEL / ADUPTOR STEEL SILWEL</t>
  </si>
  <si>
    <t>HEAD ADUPTOR / HEAD ADUPTAR</t>
  </si>
  <si>
    <t>GODREJ TOP PCB 02952</t>
  </si>
  <si>
    <t>ALIMUNINM WELDING ROD</t>
  </si>
  <si>
    <t>WHIRLPOOL FROST FREE SENSOR</t>
  </si>
  <si>
    <t>WHIRLPOOL FROST FREE PCB</t>
  </si>
  <si>
    <t>GALAXY CHARGING PIPE R 22</t>
  </si>
  <si>
    <t>GALAXY CHARGING PIPE R 410</t>
  </si>
  <si>
    <t>TUBE CUTTER BIG CT 274</t>
  </si>
  <si>
    <t>TUBE CUTTER MINI CT 128</t>
  </si>
  <si>
    <t>TUBE CUTTER GALAXY</t>
  </si>
  <si>
    <t>FAN MOTOR PANASONIC 0007</t>
  </si>
  <si>
    <t>FAN MOTOR GODREJ 00166</t>
  </si>
  <si>
    <t>2 KG</t>
  </si>
  <si>
    <t>CAR AC CHARGING VALVE BLUE</t>
  </si>
  <si>
    <t>CAR AC CHARGING VALVE RED</t>
  </si>
  <si>
    <t>134 VALVE BIG AND</t>
  </si>
  <si>
    <t>L G FRONT LOAD DRAIN MOTOR</t>
  </si>
  <si>
    <t>MICRO WAVE TURN TABLE MOTOR 3 WAAT</t>
  </si>
  <si>
    <t>MICRO WAVE TURN TABLE MOTOR 4 WAAT</t>
  </si>
  <si>
    <t>CLAMP METER BIG DVM</t>
  </si>
  <si>
    <t>8831-8832</t>
  </si>
  <si>
    <t>2.50.00</t>
  </si>
  <si>
    <t>42.670.00</t>
  </si>
  <si>
    <t>ANCOR FASTNER 10 MM</t>
  </si>
  <si>
    <t>ANCOR FASTNER 8 MM</t>
  </si>
  <si>
    <t>NUT BOLT 12 NO</t>
  </si>
  <si>
    <t>GAS R 22 60 KG CYLENDER</t>
  </si>
  <si>
    <t>60 KG</t>
  </si>
  <si>
    <t>SOLDRING WIRE(10 GM)</t>
  </si>
  <si>
    <t>SOLDRING WIRE(30 GM)</t>
  </si>
  <si>
    <t>SOLDRING WIRE PASTE</t>
  </si>
  <si>
    <t>VOLTAS DC INDOOR MOTOR A/C</t>
  </si>
  <si>
    <t>CAMIPRO DC INDOOR MOTOR A/C</t>
  </si>
  <si>
    <t>GAS R 32 40 KG CYLENDER</t>
  </si>
  <si>
    <t>40 KG</t>
  </si>
  <si>
    <t>10001DP11066150</t>
  </si>
  <si>
    <t>THERMOSTAT GODREJ FROST FREE</t>
  </si>
  <si>
    <t>10001DP11066169</t>
  </si>
  <si>
    <t>COMRESSOR GODREJ 00377</t>
  </si>
  <si>
    <t>COMPRESSOR GODREJ 00378</t>
  </si>
  <si>
    <t>10001DP11066163</t>
  </si>
  <si>
    <t>SPLIT A/C 1.5 TON INV 3 STAR GODREJ</t>
  </si>
  <si>
    <t>GODRJ SPD CHANNEL</t>
  </si>
  <si>
    <t>GODREJ SUSPENSION ROD SET</t>
  </si>
  <si>
    <t>MICROWAVE PULLY</t>
  </si>
  <si>
    <t>TEMPERATURE METER</t>
  </si>
  <si>
    <t>GODREJ PCB 00211 EDGE DIGI</t>
  </si>
  <si>
    <t>WASHING MACHINE COVER TL/FL</t>
  </si>
  <si>
    <t>AC SERVICE JACKET</t>
  </si>
  <si>
    <t>WHIRLPOOL ZENZY BIG BOTTLE SHELF</t>
  </si>
  <si>
    <t>WHIRLPOOL ZENZY BOTTLE SHELF</t>
  </si>
  <si>
    <t>WHIRLPOOL GENIUS BOTTLE SHELF</t>
  </si>
  <si>
    <t>SENSOR GODREJ 00066</t>
  </si>
  <si>
    <t>AC SENSOR ALL MODEL DOUBLE</t>
  </si>
  <si>
    <t>GODREJ OLD MECHANICAL ASS 00001 OLD</t>
  </si>
  <si>
    <t>GODREJ MECHANICAL ASS OOO27 ALR</t>
  </si>
  <si>
    <t>GODREJ KNOB PCB 02847</t>
  </si>
  <si>
    <t>GODREJ SENSOR 00064</t>
  </si>
  <si>
    <t>GODREJ THERMOSTAT 00036</t>
  </si>
  <si>
    <t>GODREJ BIMETAL SENSOR 00066</t>
  </si>
  <si>
    <t>IN0506</t>
  </si>
  <si>
    <t>GODREJ DC FAN MOTOR PANASONIC 00007</t>
  </si>
  <si>
    <t>MAGNATRON 210 SMALL</t>
  </si>
  <si>
    <t>GODREJ DC FAN 00166</t>
  </si>
  <si>
    <t>GODREJ BLDC PCB 02408</t>
  </si>
  <si>
    <t>GODREJ MINI BLBC PCB 02839</t>
  </si>
  <si>
    <t>GODREJ PTC RELAY 00178</t>
  </si>
  <si>
    <t>GODREJ BIMETAL 01751</t>
  </si>
  <si>
    <t>GODREJ DC FAN MOTOR PANASONIC 00166</t>
  </si>
  <si>
    <t>GODREJ FAN MOTOR 00380</t>
  </si>
  <si>
    <t>GODREJ EDGE PRO FREEZER DOOR 03159</t>
  </si>
  <si>
    <t>6801 GODREJ PULSATOR</t>
  </si>
  <si>
    <t>GODREJ 7 WIRE 35 MIN SINGLE WASH TIMER 00012</t>
  </si>
  <si>
    <t>GODREJ SPIN TIMER 00013</t>
  </si>
  <si>
    <t>GODREJ 15 MIN SINGLE WASH TIMER OLD 00027</t>
  </si>
  <si>
    <t>L.G FAN MOTOR DC SQUARE</t>
  </si>
  <si>
    <t>SWING MOTOR HITACHI</t>
  </si>
  <si>
    <t>ODU STAND DAIKEN</t>
  </si>
  <si>
    <t>WATER LAVEL SENSOR HAIER</t>
  </si>
  <si>
    <t>MICRO WAVE CAPACITOR 1 MFD DAIKEN</t>
  </si>
  <si>
    <t>GODREJ INVERTOR PCB 02839</t>
  </si>
  <si>
    <t>BATALI PIPE 6 MTR</t>
  </si>
  <si>
    <t>134 HC VALVE AND</t>
  </si>
  <si>
    <t>134 HC VALVE RAISE</t>
  </si>
  <si>
    <t>INLET PIPE 3 MTR GODREJ</t>
  </si>
  <si>
    <t>INLET PIPE 2 MTR GODREJ</t>
  </si>
  <si>
    <t>CONDENSOR SPRAY</t>
  </si>
  <si>
    <t>TROLLY GODREJ WHEEL BARROW GODREJ 00097</t>
  </si>
  <si>
    <t>TROLLY GODREJ WHEEL BARROW GODREJ 00095</t>
  </si>
  <si>
    <t>INDOOR PLATE SPLIT AC</t>
  </si>
  <si>
    <t>GODREJ BOTTLE SHELF 01153</t>
  </si>
  <si>
    <t>GODREJ PULSATOR 04127 ALLURE</t>
  </si>
  <si>
    <t>GAS R 22 CAN</t>
  </si>
  <si>
    <t xml:space="preserve">RELAY GREATWALL </t>
  </si>
  <si>
    <t>10001DP11066587</t>
  </si>
  <si>
    <t>SPLIT A/C 1 TON INV 3 STAR GODREJ</t>
  </si>
  <si>
    <t>10001DP11066951</t>
  </si>
  <si>
    <t>L.G DOOR LOCK FRONT LOAD W/M</t>
  </si>
  <si>
    <t>FAN MOTOR PANASONIC 00007</t>
  </si>
  <si>
    <t>FAN MOTOR GODREJ 00380</t>
  </si>
  <si>
    <t>CHARGING PIN VALVE</t>
  </si>
  <si>
    <t>ODU FAN MOTOR VOLTAS 2712 CW</t>
  </si>
  <si>
    <t>L.G IDU BLOWER MOTOR</t>
  </si>
  <si>
    <t>COPPER PIPE 3/16</t>
  </si>
  <si>
    <t>CAPACITOR 50/6 DIKEN</t>
  </si>
  <si>
    <t>BATALI PUMP</t>
  </si>
  <si>
    <t>THERMOSTAT GEASER LONG EXPO</t>
  </si>
  <si>
    <t>THERMOSTAT GEASER LONG TTE</t>
  </si>
  <si>
    <t>THERMOSTAT GEASER SMALL TTE</t>
  </si>
  <si>
    <t>THERMOSTAT GEASER SMALL EXPO</t>
  </si>
  <si>
    <t>HEATING ELIMENT GEASER THEETA</t>
  </si>
  <si>
    <t>THERMOSTAT GEASER LONG LOCAL</t>
  </si>
  <si>
    <t>DRAIN PIPE PVC AC</t>
  </si>
  <si>
    <t>SCALE LUSTER POWDER L.G</t>
  </si>
  <si>
    <t>COPPER PIPE 3/8 (2.160 KG)</t>
  </si>
  <si>
    <t>ALUMINUME FAN BLADE D.FREEZER</t>
  </si>
  <si>
    <t>REMOTE GODREJ BIG</t>
  </si>
  <si>
    <t>REMOTE GODREJ GLASS</t>
  </si>
  <si>
    <t>REMOTE VOLTAS ORIGENAL</t>
  </si>
  <si>
    <t>REMOTE HITACHI</t>
  </si>
  <si>
    <t>REMOTE UNIVERSAL</t>
  </si>
  <si>
    <t>REMOTE LG ORIGENAL</t>
  </si>
  <si>
    <t>REMOTE LG MED</t>
  </si>
  <si>
    <t>REMOTE LG SMALL</t>
  </si>
  <si>
    <t>REMOTE PANASONIC</t>
  </si>
  <si>
    <t>REMOTE SAMSUNG LOCAL</t>
  </si>
  <si>
    <t>REMOTE SAMSUNG PLANE</t>
  </si>
  <si>
    <t>REMOTE CARRIER</t>
  </si>
  <si>
    <t>REMOTE ONIDA</t>
  </si>
  <si>
    <t>REMOTE VOLTAS LOCAL</t>
  </si>
  <si>
    <t>REMOTE LLOYD</t>
  </si>
  <si>
    <t>IDU MOTOR PANASONIC 30 WAAT</t>
  </si>
  <si>
    <t>VOLTAS STABLISER 4KVA</t>
  </si>
  <si>
    <t>CAN GAS R 32 REFTRON</t>
  </si>
  <si>
    <t>REMOTE HITACHI DISPLAY</t>
  </si>
  <si>
    <t>CAPACITOR 40+10 UF</t>
  </si>
  <si>
    <t>L G B1 PCB FOR AIR COND</t>
  </si>
  <si>
    <t>L G 903 PCB FOR AIR COND</t>
  </si>
  <si>
    <t>L G 906 PCB FOR AIR COND</t>
  </si>
  <si>
    <t>VOLTAS DC MAGNETT INVERTER PCB FOR AIR COND</t>
  </si>
  <si>
    <t xml:space="preserve"> FOR AIR CONDVOLTAS TOP BORD INVERTER PCB</t>
  </si>
  <si>
    <t>VOLTAS GRJ 519 PCB FOR AIR COND</t>
  </si>
  <si>
    <t>VOLTAS GRJ 554 PCB FOR AIR COND</t>
  </si>
  <si>
    <t>SAMSUNG DC NON INVERTER PCB FOR AIR COND</t>
  </si>
  <si>
    <t>SAMSUNG DC INVERTER PCB FOR AIR COND</t>
  </si>
  <si>
    <t>SAMSUNG AC NON INVERTER PCB FOR AIR COND</t>
  </si>
  <si>
    <t>L G DC INVERTER WHITE PCB FOR AIR COND</t>
  </si>
  <si>
    <t>L G DC INVERTER PCB FOR AIR COND</t>
  </si>
  <si>
    <t>L G DC NON INVERTER PCB FOR AIR COND</t>
  </si>
  <si>
    <t>VOLTAS AC MAGNETT PCB FOR AIR COND</t>
  </si>
  <si>
    <t>C TYPE PCB FOR AIR COND</t>
  </si>
  <si>
    <t>GODREJ/IFB AC PCB FOR AIR COND</t>
  </si>
  <si>
    <t>NEPOLEON PCB FOR AIR COND</t>
  </si>
  <si>
    <t>P N DC 88 PCB FOR AIR COND</t>
  </si>
  <si>
    <t>P N DC LED PCB FOR AIR COND</t>
  </si>
  <si>
    <t>DAIKIN INVERTER PCB FOR AIR COND</t>
  </si>
  <si>
    <t>DAIKIN NON INVERTER PCB FOR AIR COND</t>
  </si>
  <si>
    <t>WHIRLPOOL GUN PCB FOR AIR COND</t>
  </si>
  <si>
    <t>WHIRLPOOL SQ RELAY PCB FOR AIR COND</t>
  </si>
  <si>
    <t>GODREJ KFR 48 PCB FOR AIR COND</t>
  </si>
  <si>
    <t>TOPBOAD ODU PCB FOR AIR COND</t>
  </si>
  <si>
    <t>MEGNETT ODU PCB(F50VT) FOR AIR COND</t>
  </si>
  <si>
    <t>L G ODU PCB FOR AIR COND</t>
  </si>
  <si>
    <t>SAMSUNG IDU GREEN SMALL PCB FOR AIR COND</t>
  </si>
  <si>
    <t>SAMSUNG IDU GREEN BIG PCB FOR AIR COND</t>
  </si>
  <si>
    <t>SAMSUNG 2 CAP PCB FOR AIR COND</t>
  </si>
  <si>
    <t>L G INDOOR PCB FOR AIR COND</t>
  </si>
  <si>
    <t>WHIRLPOOL VTD 1070 PCB FOR REF</t>
  </si>
  <si>
    <t>WHIRLPOOL VHM 1070 PCB FOR REF</t>
  </si>
  <si>
    <t>AQUILA PCB FOR AIR COND</t>
  </si>
  <si>
    <t xml:space="preserve">SAMSUNG F/F FAN PCB </t>
  </si>
  <si>
    <t>FOLLOW ME AC HT PCB FOR AIR COND</t>
  </si>
  <si>
    <t>FOLLOW ME DC HT PCB FOR AIR COND</t>
  </si>
  <si>
    <t>HITACHI DC INVERTER PCB FOR AIR COND</t>
  </si>
  <si>
    <t>HITACHI AC INVERTER PCB FOR AIR COND</t>
  </si>
  <si>
    <t>HITACHI AC N/M INVERTER PCB FOR AIR COND</t>
  </si>
  <si>
    <t>VOLTAS WAC PCB FOR AIR COND</t>
  </si>
  <si>
    <t>GODREJ THICK CAPACITOR  PCB FOR REFRIGERATOR 02839</t>
  </si>
  <si>
    <t>GODREJ THIN CAPACITOR  PCB FOR REFRIGERATOR 02839</t>
  </si>
  <si>
    <t>11903-3</t>
  </si>
  <si>
    <t>11903-4</t>
  </si>
  <si>
    <t>11903-5</t>
  </si>
  <si>
    <t>11903-6</t>
  </si>
  <si>
    <t>11903-7</t>
  </si>
  <si>
    <t>11903-8</t>
  </si>
  <si>
    <t>11903-9</t>
  </si>
  <si>
    <t>11903-10</t>
  </si>
  <si>
    <t>11903-11</t>
  </si>
  <si>
    <t>11903-12</t>
  </si>
  <si>
    <t>11903-13</t>
  </si>
  <si>
    <t>11903-14</t>
  </si>
  <si>
    <t>11903-15</t>
  </si>
  <si>
    <t>11903-16</t>
  </si>
  <si>
    <t>11903-17</t>
  </si>
  <si>
    <t>11903-18</t>
  </si>
  <si>
    <t>11903-19</t>
  </si>
  <si>
    <t>11903 -2</t>
  </si>
  <si>
    <t>DATE-</t>
  </si>
  <si>
    <t>₹28,880.00</t>
  </si>
  <si>
    <t>11903-57</t>
  </si>
  <si>
    <t>11903-128</t>
  </si>
  <si>
    <t>11903-129</t>
  </si>
  <si>
    <t>11903-130</t>
  </si>
  <si>
    <t>11903-131</t>
  </si>
  <si>
    <t>11903-132</t>
  </si>
  <si>
    <t>11903-133</t>
  </si>
  <si>
    <t>11903-134</t>
  </si>
  <si>
    <t>11903-135</t>
  </si>
  <si>
    <t>11903-136</t>
  </si>
  <si>
    <t>11903-137</t>
  </si>
  <si>
    <t>11903-138</t>
  </si>
  <si>
    <t>11903-139</t>
  </si>
  <si>
    <t>11903-140</t>
  </si>
  <si>
    <t>11903-141</t>
  </si>
  <si>
    <t>11903-142</t>
  </si>
  <si>
    <t>11903-143</t>
  </si>
  <si>
    <t>11903-144</t>
  </si>
  <si>
    <t>11903-145</t>
  </si>
  <si>
    <t>11903-146</t>
  </si>
  <si>
    <t>11903-147</t>
  </si>
  <si>
    <t>11903-148</t>
  </si>
  <si>
    <t>11903-149</t>
  </si>
  <si>
    <t>11903-150</t>
  </si>
  <si>
    <t>11903-151</t>
  </si>
  <si>
    <t>11903-152</t>
  </si>
  <si>
    <t>11903-153</t>
  </si>
  <si>
    <t>11903-154</t>
  </si>
  <si>
    <t>11903-155</t>
  </si>
  <si>
    <t>11903-156</t>
  </si>
  <si>
    <t>11903-157</t>
  </si>
  <si>
    <t>11903-158</t>
  </si>
  <si>
    <t>11903-159</t>
  </si>
  <si>
    <t>11903-160</t>
  </si>
  <si>
    <t>11903-161</t>
  </si>
  <si>
    <t>11903-162</t>
  </si>
  <si>
    <t>11903-163</t>
  </si>
  <si>
    <t>11903-164</t>
  </si>
  <si>
    <t>11903-165</t>
  </si>
  <si>
    <t>11903-166</t>
  </si>
  <si>
    <t>11903-167</t>
  </si>
  <si>
    <t>11903-168</t>
  </si>
  <si>
    <t>11903-169</t>
  </si>
  <si>
    <t>11903-170</t>
  </si>
  <si>
    <t>11903-171</t>
  </si>
  <si>
    <t>11903-172</t>
  </si>
  <si>
    <t>11903-173</t>
  </si>
  <si>
    <t>11903-174</t>
  </si>
  <si>
    <t>11903-175</t>
  </si>
  <si>
    <t>11903-176</t>
  </si>
  <si>
    <t>11903-177</t>
  </si>
  <si>
    <t>11903-178</t>
  </si>
  <si>
    <t>11903-179</t>
  </si>
  <si>
    <t>11903-180</t>
  </si>
  <si>
    <t>11903-181</t>
  </si>
  <si>
    <t>11903-182</t>
  </si>
  <si>
    <t>11903-183</t>
  </si>
  <si>
    <t>11903-184</t>
  </si>
  <si>
    <t>11903-185</t>
  </si>
  <si>
    <t>11903-186</t>
  </si>
  <si>
    <t>11903-187</t>
  </si>
  <si>
    <t>11903-188</t>
  </si>
  <si>
    <t>11903-189</t>
  </si>
  <si>
    <t>11903-190</t>
  </si>
  <si>
    <t>11903-191</t>
  </si>
  <si>
    <t>11903-192</t>
  </si>
  <si>
    <t>11903-193</t>
  </si>
  <si>
    <t>11903-194</t>
  </si>
  <si>
    <t>11903-195</t>
  </si>
  <si>
    <t>11903-196</t>
  </si>
  <si>
    <t>11903-197</t>
  </si>
  <si>
    <t>11903-198</t>
  </si>
  <si>
    <t>11903-199</t>
  </si>
  <si>
    <t>11903-200</t>
  </si>
  <si>
    <t>11903-201</t>
  </si>
  <si>
    <t>11903-202</t>
  </si>
  <si>
    <t>11903-203</t>
  </si>
  <si>
    <t>11903-204</t>
  </si>
  <si>
    <t>11903-205</t>
  </si>
  <si>
    <t>11903-206</t>
  </si>
  <si>
    <t>11903-207</t>
  </si>
  <si>
    <t>11903-208</t>
  </si>
  <si>
    <t>11903-209</t>
  </si>
  <si>
    <t>11903-210</t>
  </si>
  <si>
    <t>11903-211</t>
  </si>
  <si>
    <t>11903-212</t>
  </si>
  <si>
    <t>11903-213</t>
  </si>
  <si>
    <t>11903-214</t>
  </si>
  <si>
    <t>11903-215</t>
  </si>
  <si>
    <t>11903-216</t>
  </si>
  <si>
    <t>11903-217</t>
  </si>
  <si>
    <t>11903-218</t>
  </si>
  <si>
    <t>11903-219</t>
  </si>
  <si>
    <t>11903-220</t>
  </si>
  <si>
    <t>11903-221</t>
  </si>
  <si>
    <t>11903-222</t>
  </si>
  <si>
    <t>11903-223</t>
  </si>
  <si>
    <t>11903-224</t>
  </si>
  <si>
    <t>11903-225</t>
  </si>
  <si>
    <t>11903-226</t>
  </si>
  <si>
    <t>11903-227</t>
  </si>
  <si>
    <t>11903-228</t>
  </si>
  <si>
    <t>11903-229</t>
  </si>
  <si>
    <t>11903-230</t>
  </si>
  <si>
    <t>11903-231</t>
  </si>
  <si>
    <t>11903-232</t>
  </si>
  <si>
    <t>11903-233</t>
  </si>
  <si>
    <t>11903-234</t>
  </si>
  <si>
    <t>11903-235</t>
  </si>
  <si>
    <t>11903-236</t>
  </si>
  <si>
    <t>11904-1</t>
  </si>
  <si>
    <t>11904-2</t>
  </si>
  <si>
    <t>11904-3</t>
  </si>
  <si>
    <t>11904-4</t>
  </si>
  <si>
    <t>11904-5</t>
  </si>
  <si>
    <t>11904-6</t>
  </si>
  <si>
    <t>11904-7</t>
  </si>
  <si>
    <t>11904-8</t>
  </si>
  <si>
    <t>11904-9</t>
  </si>
  <si>
    <t>11904-10</t>
  </si>
  <si>
    <t>11904-11</t>
  </si>
  <si>
    <t>11904-12</t>
  </si>
  <si>
    <t>11904-13</t>
  </si>
  <si>
    <t>11904-14</t>
  </si>
  <si>
    <t>11904-15</t>
  </si>
  <si>
    <t>11904-16</t>
  </si>
  <si>
    <t>11904-17</t>
  </si>
  <si>
    <t>11904-18</t>
  </si>
  <si>
    <t>11904-19</t>
  </si>
  <si>
    <t>40+10</t>
  </si>
  <si>
    <t>300 TIE</t>
  </si>
  <si>
    <t xml:space="preserve">250 TIE </t>
  </si>
  <si>
    <t>HAIER BOTTLE SHELF</t>
  </si>
  <si>
    <t>HAIER BOOTLE SHELF (JAALI)</t>
  </si>
  <si>
    <t>11905-1</t>
  </si>
  <si>
    <t xml:space="preserve">GODREJ BOTTLE SHELF </t>
  </si>
  <si>
    <t>11940 1/5/25</t>
  </si>
  <si>
    <t>11905-2</t>
  </si>
  <si>
    <t>11905-3</t>
  </si>
  <si>
    <t>11905-4</t>
  </si>
  <si>
    <t>11905-5</t>
  </si>
  <si>
    <t>11905-6</t>
  </si>
  <si>
    <t>11940-1</t>
  </si>
  <si>
    <t>11940-2</t>
  </si>
  <si>
    <t>11940-3</t>
  </si>
  <si>
    <t>11940-4</t>
  </si>
  <si>
    <t>11940-5</t>
  </si>
  <si>
    <t>11940-6</t>
  </si>
  <si>
    <t>11940-7</t>
  </si>
  <si>
    <t>11940-8</t>
  </si>
  <si>
    <t>11940-9</t>
  </si>
  <si>
    <t>11940-10</t>
  </si>
  <si>
    <t>ROHAN DELHI PCB</t>
  </si>
  <si>
    <t>IN063-1</t>
  </si>
  <si>
    <t>IN063-2</t>
  </si>
  <si>
    <t>IN063-3</t>
  </si>
  <si>
    <t>IN063-4</t>
  </si>
  <si>
    <t>IN063-5</t>
  </si>
  <si>
    <t>IN063-6</t>
  </si>
  <si>
    <t>IN063-7</t>
  </si>
  <si>
    <t>IN063-8</t>
  </si>
  <si>
    <t>IN063-9</t>
  </si>
  <si>
    <t>IN063-10</t>
  </si>
  <si>
    <t>IN063-11</t>
  </si>
  <si>
    <t>IN063-12</t>
  </si>
  <si>
    <t>IN063-13</t>
  </si>
  <si>
    <t>IN063-14</t>
  </si>
  <si>
    <t>IN063-15</t>
  </si>
  <si>
    <t>IN063-16</t>
  </si>
  <si>
    <t>IN063-17</t>
  </si>
  <si>
    <t>IN063-18</t>
  </si>
  <si>
    <t>IN063-19</t>
  </si>
  <si>
    <t>IN063-20</t>
  </si>
  <si>
    <t>IN063-21</t>
  </si>
  <si>
    <t>IN063-22</t>
  </si>
  <si>
    <t>IN063-23</t>
  </si>
  <si>
    <t>IN063-24</t>
  </si>
  <si>
    <t>IN063-25</t>
  </si>
  <si>
    <t>IN063-26</t>
  </si>
  <si>
    <t>IN063-27</t>
  </si>
  <si>
    <t>IN063-28</t>
  </si>
  <si>
    <t>IN063-29</t>
  </si>
  <si>
    <t>IN063-30</t>
  </si>
  <si>
    <t>IN063-31</t>
  </si>
  <si>
    <t>IN063-32</t>
  </si>
  <si>
    <t>IN063-33</t>
  </si>
  <si>
    <t>IN063-34</t>
  </si>
  <si>
    <t>IN063-35</t>
  </si>
  <si>
    <t>IN063-36</t>
  </si>
  <si>
    <t>IN063-37</t>
  </si>
  <si>
    <t>IN063-38</t>
  </si>
  <si>
    <t>IN063-39</t>
  </si>
  <si>
    <t>IN063-40</t>
  </si>
  <si>
    <t>IN063-41</t>
  </si>
  <si>
    <t>IN063-42</t>
  </si>
  <si>
    <t>IN063-43</t>
  </si>
  <si>
    <t>IN063-44</t>
  </si>
  <si>
    <t>IN063-45</t>
  </si>
  <si>
    <t>IN063-46</t>
  </si>
  <si>
    <t>TA-</t>
  </si>
  <si>
    <t>UNIVERSAL DC OLD 45 WATT FOR AIR COND</t>
  </si>
  <si>
    <t>SAMSUNG DC INDOOR MOTOR FOR AIR COND</t>
  </si>
  <si>
    <t>WHIRLPOOL DC INDOOR MOTOR FOR AIR COND</t>
  </si>
  <si>
    <t>VOLTAS AC INDOOR MOTOR FOR AIR COND</t>
  </si>
  <si>
    <t>PANASONIC AC INDOOR MOTOR FOR AIR COND</t>
  </si>
  <si>
    <t>RP35 A INDOOR MOTOR FOR AIR COND</t>
  </si>
  <si>
    <t>RP 15 INDOOR MOTOR FOR AIR COND</t>
  </si>
  <si>
    <t>SAMSUNG AC INDOOR MOTOR FOR AIR COND</t>
  </si>
  <si>
    <t>RPA 28 AC INDOOR MOTOR FOR AIR COND</t>
  </si>
  <si>
    <t>26 WATT AC INDOOR MOTOR FOR AIR COND</t>
  </si>
  <si>
    <t>RP 35 B INDOOR MOTOR FOR AIR COND</t>
  </si>
  <si>
    <t>50 MFD CAPACITOR</t>
  </si>
  <si>
    <t>60 MFD CAPACITOR (CONCAP)</t>
  </si>
  <si>
    <t>10 WATT FAN BLADE</t>
  </si>
  <si>
    <t>60 MFD CAPACITOR DIKEN</t>
  </si>
  <si>
    <t>45 MFD CAPACITOR DIKEN</t>
  </si>
  <si>
    <t>50 MFD CAPACTOR DAIKEN</t>
  </si>
  <si>
    <t>LG OUTDOOR MOTOR FOR AIR COND</t>
  </si>
  <si>
    <t>SAMSUNG OUTDOOR MOTOR FOR AIR COND</t>
  </si>
  <si>
    <t>PANASONIC OUTDOOR MOTOR FOR AIR COND</t>
  </si>
  <si>
    <t>WASHING MACHINE CHECK NUT</t>
  </si>
  <si>
    <t>DEEP FREEZER THERMOSTAT</t>
  </si>
  <si>
    <t>GODREJ DC FAN PANASONIC 00007</t>
  </si>
  <si>
    <t>MED TUBE COPPER PIPE 1/2,1/4</t>
  </si>
  <si>
    <t>VOLTAS OUTDOOR MOTOR FOR AIR COND</t>
  </si>
  <si>
    <t>SERVICE JACKET</t>
  </si>
  <si>
    <t>GODREJ FUSE SENSOR 00066</t>
  </si>
  <si>
    <t>HTACHI DC INDOOR MOTOR FOR AIR COND</t>
  </si>
  <si>
    <t>PANASONIC DC INDOOR MOTOR FOR AIR COND</t>
  </si>
  <si>
    <t>LG DC SMALL ORIGENAL MOTOR FOR AIR COND</t>
  </si>
  <si>
    <t>LG DC SMALL MOTOR FOR AIR COND</t>
  </si>
  <si>
    <t>VOLTAS DC INDOOR MOTOR FOR AIR COND</t>
  </si>
  <si>
    <t>LG OLD  MOTOR OUTDOOR FOR AIR COND</t>
  </si>
  <si>
    <t>VOLTAS OUTDOOR MOTORFOR AIR COND</t>
  </si>
  <si>
    <t>PANSAONIC OUTDOOR MOTOR FOR AIR COND</t>
  </si>
  <si>
    <t>AID OUTDOOR MOTOR FOR AIR COND</t>
  </si>
  <si>
    <t>HITACHI 47 DC OUTDOOR MOTOR FOR AIR COND</t>
  </si>
  <si>
    <t>LG 5 WIRE DC OUTDOOR MOTOR FOR AIR COND</t>
  </si>
  <si>
    <t>PANSAONIC DC OUTDOOR MOTOR FOR AIR COND</t>
  </si>
  <si>
    <t>LG 3 WIRE DC OUTDOOR MOTOR FOR AIR COND</t>
  </si>
  <si>
    <t>DIKEN DC OUTDOOR MOTOR FOR AIR COND</t>
  </si>
  <si>
    <t>DC OUTDOOR MOTOR MOTA HOUSING FOR AIR COND</t>
  </si>
  <si>
    <t>UNIVERSAL DC OUTDOOR MOTOR 45 WATT FOR AIR COND</t>
  </si>
  <si>
    <t>DC OUTDOOR MOTOR 30 WATT FOR AIR COND</t>
  </si>
  <si>
    <t xml:space="preserve">T WRENCH 11 NO </t>
  </si>
  <si>
    <t>HAIER BIG BOX PCB FOR REFRIGERATOR</t>
  </si>
  <si>
    <t>HAIER SMALL BOX PCB FOR REFRIGERATOR</t>
  </si>
  <si>
    <t>N/A</t>
  </si>
  <si>
    <t>Voltas 130-300v</t>
  </si>
  <si>
    <t>A/C ODU STAND DAIKIN</t>
  </si>
  <si>
    <t>FAN BLADE ALIMUNIUM DEEP FREEZER</t>
  </si>
  <si>
    <t>CAPACITOR 40 MFD MTECH</t>
  </si>
  <si>
    <t>SINGLE MANIFOLD GAUGE  250 PSI(AND)</t>
  </si>
  <si>
    <t>SINGLE MANIFOLD GAUGE  410 PSI(AND)</t>
  </si>
  <si>
    <t>BRASS CONECTOR BATALI</t>
  </si>
  <si>
    <t>360 GUN FOR BATALI FLOW MASTER</t>
  </si>
  <si>
    <t>10 WAAT FAN MOTOR DAIKIN FOR DEEP FREEZER</t>
  </si>
  <si>
    <t>GODREJ FREEZER DOOR ASS EDGE PRO 03159</t>
  </si>
  <si>
    <t>BATALI SERVICE PIPE 6 MTR</t>
  </si>
  <si>
    <t>GODREJ TOP PCB 02824</t>
  </si>
  <si>
    <t>UNIVERSAL PCB 4000 DVM</t>
  </si>
  <si>
    <t>GODREJ PULSATOR PDS</t>
  </si>
  <si>
    <t>GODREJ PULSATOR FULLY AUTO 04127</t>
  </si>
  <si>
    <t xml:space="preserve">GODREJ SUSPENSION ROD YELLOW </t>
  </si>
  <si>
    <t>GODREJ SUSPENSION ROD BLACK</t>
  </si>
  <si>
    <t>134 VALVE BRASSBLIZZ</t>
  </si>
  <si>
    <t>410 CAN GAS</t>
  </si>
  <si>
    <t>12195-1-24/05/25</t>
  </si>
  <si>
    <t>12195-2-24/05/25</t>
  </si>
  <si>
    <t>12195-3-24/05/26</t>
  </si>
  <si>
    <t>12195-4-24/05/26</t>
  </si>
  <si>
    <t>12195-5-24/05/27</t>
  </si>
  <si>
    <t>12195-6-24/05/27</t>
  </si>
  <si>
    <t>12195-7-24/05/28</t>
  </si>
  <si>
    <t>12195-8-24/05/28</t>
  </si>
  <si>
    <t>12195-9-24/05/29</t>
  </si>
  <si>
    <t>12195-10-24/05/29</t>
  </si>
  <si>
    <t>12195-11-24/05/30</t>
  </si>
  <si>
    <t>12195-12-24/05/30</t>
  </si>
  <si>
    <t>12195-13-24/05/31</t>
  </si>
  <si>
    <t>12195-14-24/05/31</t>
  </si>
  <si>
    <t>12195-15-24/05/32</t>
  </si>
  <si>
    <t>12195-16-24/05/32</t>
  </si>
  <si>
    <t>12195-17-24/05/33</t>
  </si>
  <si>
    <t>12195-18-24/05/33</t>
  </si>
  <si>
    <t>12195-19-24/05/33</t>
  </si>
  <si>
    <t>7739-02-12/06</t>
  </si>
  <si>
    <t>7739-03-12/06</t>
  </si>
  <si>
    <t>CAPACITOR 45/6 MT</t>
  </si>
  <si>
    <t>7739-04-12/06</t>
  </si>
  <si>
    <t>CAPACITOR 45/2 MT</t>
  </si>
  <si>
    <t>7739-05-12/06</t>
  </si>
  <si>
    <t>CAPACITOR 45/4 DIKEN</t>
  </si>
  <si>
    <t>7739-06-12/06</t>
  </si>
  <si>
    <t>CAPACITOR 50/2 MT</t>
  </si>
  <si>
    <t>7739-07-12/06</t>
  </si>
  <si>
    <t>CAPACITOR 25 MFD WAVES</t>
  </si>
  <si>
    <t>7739-08-12/06</t>
  </si>
  <si>
    <t>CAPACITOR 50/4 JKS</t>
  </si>
  <si>
    <t>7739-09-12/06</t>
  </si>
  <si>
    <t>CAPACITOR 4 MFD BLACK</t>
  </si>
  <si>
    <t>7739-10-12/06</t>
  </si>
  <si>
    <t>CAPACITOR 1.5 MFD BLACK</t>
  </si>
  <si>
    <t>7739-11-12/06</t>
  </si>
  <si>
    <t>CAPACITOR 2.5 MFD  ROUND</t>
  </si>
  <si>
    <t>7739-12-12/06</t>
  </si>
  <si>
    <t>CAPACITOR 6 MFD ROUND</t>
  </si>
  <si>
    <t>7739-13-12/06</t>
  </si>
  <si>
    <t>CAPACITOR 8 MFD ROUND</t>
  </si>
  <si>
    <t>7739-14-12/06</t>
  </si>
  <si>
    <t>GODREJ INV PCB 02408</t>
  </si>
  <si>
    <t>7739-15-12/06</t>
  </si>
  <si>
    <t>GODREJ RELAY 00178</t>
  </si>
  <si>
    <t>BATALI MACHINE</t>
  </si>
  <si>
    <t>7739-16-12/06</t>
  </si>
  <si>
    <t>7739-17-12/06</t>
  </si>
  <si>
    <t>GODREJ FULLY AUTO PULSATOR 04127</t>
  </si>
  <si>
    <t>7739-18-12/06</t>
  </si>
  <si>
    <t>GODREJ SUSPENSION ROD 03197</t>
  </si>
  <si>
    <t>GODREJ HYDROCARBON GAS 134A</t>
  </si>
  <si>
    <t>GODREJ R 290 CAN GAS</t>
  </si>
  <si>
    <t>GODREJ R 600 CAN GAS</t>
  </si>
  <si>
    <t>GODREJ R134A CAN GAS FLORON</t>
  </si>
  <si>
    <t>7739-19-12/06</t>
  </si>
  <si>
    <t>PIN VALVE NRV</t>
  </si>
  <si>
    <t>LPG CAN GAS BIG</t>
  </si>
  <si>
    <t xml:space="preserve">L.G SMALL THERMOSTAT </t>
  </si>
  <si>
    <t>L.G BIG BOTTLE SHELF</t>
  </si>
  <si>
    <t>CHARGING PIPE 5 FIT</t>
  </si>
  <si>
    <t>GODREJ 3 MTR INLET PIPE ORG</t>
  </si>
  <si>
    <t>GODREJ 3 MTR INLET PIPE LOCAL</t>
  </si>
  <si>
    <t>A/C OUD DOOR JALI 20/20 SQUARE</t>
  </si>
  <si>
    <t>L.G REMOTE NEW ORG</t>
  </si>
  <si>
    <t>VOLTAS REMOTE</t>
  </si>
  <si>
    <t>PANASONIC REMOTE</t>
  </si>
  <si>
    <t>MIX REMOTE</t>
  </si>
  <si>
    <t>7739-7740-12/06</t>
  </si>
  <si>
    <t>7740-01-12/06</t>
  </si>
  <si>
    <t>7740-02-12/06</t>
  </si>
  <si>
    <t>7740-03-12/06</t>
  </si>
  <si>
    <t>7740-04-12/06</t>
  </si>
  <si>
    <t>7740-05-12/06</t>
  </si>
  <si>
    <t>7740-06-12/06</t>
  </si>
  <si>
    <t>7740-07-12/06</t>
  </si>
  <si>
    <t>7740-08-12/06</t>
  </si>
  <si>
    <t>7740-09-12/06</t>
  </si>
  <si>
    <t>7740-10-12/06</t>
  </si>
  <si>
    <t>7740-11-12/06</t>
  </si>
  <si>
    <t>7740-12-12/06</t>
  </si>
  <si>
    <t>7740-13-12/06</t>
  </si>
  <si>
    <t>7740-14-12/06</t>
  </si>
  <si>
    <t>7740-15-12/06</t>
  </si>
  <si>
    <t>7740-16-12/06</t>
  </si>
  <si>
    <t>7740-17-12/06</t>
  </si>
  <si>
    <t>7740-18-12/06</t>
  </si>
  <si>
    <t>7740-19-12/06</t>
  </si>
  <si>
    <t>GODREJ SUSPENSION ROD 03195</t>
  </si>
  <si>
    <t>GODREJ MECHANICAL ASS 00001 OLD</t>
  </si>
  <si>
    <t>GODREJ SPIN MOTOR 00317 40 WAAT</t>
  </si>
  <si>
    <t>GODREJ CHECK NUT 00090</t>
  </si>
  <si>
    <t>V-BELT WHIRLPOOL 29 NUMBER</t>
  </si>
  <si>
    <t>CAPACITOR 4 MFD ROUND</t>
  </si>
  <si>
    <t>CAPACITOR 10 MFD ROUND</t>
  </si>
  <si>
    <t>CAPACITOR 11 MFD ROUND</t>
  </si>
  <si>
    <t>5721-03/07/2025</t>
  </si>
  <si>
    <t>5721-02-03/07</t>
  </si>
  <si>
    <t>5721-03-03/07</t>
  </si>
  <si>
    <t>5721-04-03/07</t>
  </si>
  <si>
    <t>5721-05-03/07</t>
  </si>
  <si>
    <t>5721-06-03/07</t>
  </si>
  <si>
    <t>5721-07-03/07</t>
  </si>
  <si>
    <t>5721-08-03/07</t>
  </si>
  <si>
    <t>5721-09-03/07</t>
  </si>
  <si>
    <t>5721-10-03/07</t>
  </si>
  <si>
    <t>5721-11-03/07</t>
  </si>
  <si>
    <t>5721-12-03/07</t>
  </si>
  <si>
    <t>5721-13-03/07</t>
  </si>
  <si>
    <t>GODREJ SPIN MOTOR 00385 70 WAAT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</si>
</sst>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_);\(&quot;$&quot;#,##0.00\)"/>
    <numFmt numFmtId="165" formatCode="&quot;Reorder&quot;;&quot;&quot;;&quot;&quot;"/>
    <numFmt numFmtId="166" formatCode="[$₹-820]#,##0.00"/>
    <numFmt numFmtId="167" formatCode="[$₹-439]#,##0.00"/>
    <numFmt numFmtId="168" formatCode="[$₹-4009]\ #,##0.00"/>
  </numFmts>
  <fonts count="39">
    <font>
      <sz val="11"/>
      <color theme="1"/>
      <name val="Century Gothic"/>
      <family val="2"/>
      <scheme val="minor"/>
    </font>
    <font>
      <sz val="12"/>
      <color theme="1"/>
      <name val="Century Gothic"/>
      <family val="2"/>
      <scheme val="minor"/>
    </font>
    <font>
      <sz val="11"/>
      <color theme="1"/>
      <name val="Century Gothic"/>
      <family val="2"/>
      <scheme val="minor"/>
    </font>
    <font>
      <b/>
      <sz val="12"/>
      <color theme="0"/>
      <name val="Century Gothic"/>
      <family val="2"/>
      <scheme val="major"/>
    </font>
    <font>
      <b/>
      <sz val="34"/>
      <color theme="6" tint="-0.24994659260841701"/>
      <name val="Century Gothic"/>
      <family val="2"/>
      <scheme val="major"/>
    </font>
    <font>
      <sz val="11"/>
      <color theme="6" tint="-0.499984740745262"/>
      <name val="Century Gothic"/>
      <family val="2"/>
      <scheme val="minor"/>
    </font>
    <font>
      <sz val="11"/>
      <color theme="1"/>
      <name val="Century Gothic"/>
      <family val="2"/>
      <scheme val="minor"/>
    </font>
    <font>
      <sz val="48"/>
      <color theme="5" tint="-0.249977111117893"/>
      <name val="Century Gothic"/>
      <family val="2"/>
      <scheme val="minor"/>
    </font>
    <font>
      <sz val="12"/>
      <color theme="1"/>
      <name val="Century Gothic"/>
      <family val="2"/>
      <scheme val="minor"/>
    </font>
    <font>
      <sz val="48"/>
      <color theme="5" tint="-0.249977111117893"/>
      <name val="Century Gothic"/>
      <family val="2"/>
      <scheme val="major"/>
    </font>
    <font>
      <b/>
      <sz val="11"/>
      <color theme="1"/>
      <name val="Century Gothic"/>
      <family val="1"/>
      <scheme val="minor"/>
    </font>
    <font>
      <sz val="8"/>
      <name val="Century Gothic"/>
      <family val="2"/>
      <scheme val="minor"/>
    </font>
    <font>
      <b/>
      <sz val="14"/>
      <color rgb="FF0E0E0E"/>
      <name val=".AppleSystemUIFont"/>
    </font>
    <font>
      <sz val="11"/>
      <color theme="1"/>
      <name val="Century Gothic"/>
      <family val="1"/>
      <scheme val="minor"/>
    </font>
    <font>
      <b/>
      <sz val="11"/>
      <color theme="0"/>
      <name val="Century Gothic"/>
      <family val="1"/>
      <scheme val="minor"/>
    </font>
    <font>
      <b/>
      <sz val="14"/>
      <color theme="0"/>
      <name val="Century Gothic"/>
      <family val="1"/>
      <scheme val="minor"/>
    </font>
    <font>
      <b/>
      <sz val="12"/>
      <color theme="1"/>
      <name val="Century Gothic"/>
      <family val="2"/>
      <scheme val="major"/>
    </font>
    <font>
      <b/>
      <sz val="12"/>
      <color theme="1"/>
      <name val="Century Gothic (Headings)"/>
    </font>
    <font>
      <b/>
      <sz val="11"/>
      <color theme="1"/>
      <name val="Century Gothic"/>
      <family val="2"/>
      <scheme val="minor"/>
    </font>
    <font>
      <b/>
      <sz val="12"/>
      <color theme="1"/>
      <name val="Century Gothic"/>
      <family val="1"/>
      <scheme val="minor"/>
    </font>
    <font>
      <b/>
      <sz val="12"/>
      <color theme="0"/>
      <name val="Century Gothic"/>
      <family val="1"/>
      <scheme val="minor"/>
    </font>
    <font>
      <b/>
      <sz val="12"/>
      <color rgb="FFFF0000"/>
      <name val="Century Gothic"/>
      <family val="1"/>
      <scheme val="minor"/>
    </font>
    <font>
      <b/>
      <sz val="12"/>
      <color theme="1"/>
      <name val="Century Gothic"/>
      <family val="1"/>
      <scheme val="major"/>
    </font>
    <font>
      <b/>
      <sz val="11"/>
      <color theme="1"/>
      <name val="Century Gothic"/>
      <family val="2"/>
      <scheme val="minor"/>
    </font>
    <font>
      <b/>
      <sz val="12"/>
      <color rgb="FFFF0000"/>
      <name val="Century Gothic"/>
      <family val="2"/>
      <scheme val="minor"/>
    </font>
    <font>
      <sz val="11"/>
      <color rgb="FFFF0000"/>
      <name val="Century Gothic"/>
      <family val="2"/>
      <scheme val="minor"/>
    </font>
    <font>
      <b/>
      <sz val="11"/>
      <color rgb="FFFF0000"/>
      <name val="Century Gothic"/>
      <family val="1"/>
      <scheme val="minor"/>
    </font>
    <font>
      <b/>
      <sz val="11"/>
      <color rgb="FFFF0000"/>
      <name val="Century Gothic"/>
      <family val="2"/>
      <scheme val="minor"/>
    </font>
    <font>
      <b/>
      <sz val="12"/>
      <color theme="1"/>
      <name val="Century Gothic"/>
      <family val="2"/>
      <scheme val="minor"/>
    </font>
    <font>
      <b/>
      <sz val="12"/>
      <name val="Century Gothic"/>
      <family val="1"/>
      <scheme val="minor"/>
    </font>
    <font>
      <b/>
      <sz val="12"/>
      <color rgb="FF000000"/>
      <name val="Century Gothic"/>
      <family val="1"/>
      <scheme val="minor"/>
    </font>
    <font>
      <b/>
      <sz val="11"/>
      <color rgb="FF000000"/>
      <name val="Century Gothic"/>
      <family val="2"/>
      <scheme val="minor"/>
    </font>
    <font>
      <b/>
      <sz val="11"/>
      <color rgb="FF000000"/>
      <name val="Century Gothic"/>
      <family val="1"/>
      <scheme val="minor"/>
    </font>
    <font>
      <sz val="11"/>
      <color rgb="FF000000"/>
      <name val="Century Gothic"/>
      <family val="2"/>
      <scheme val="minor"/>
    </font>
    <font>
      <b/>
      <sz val="11"/>
      <color theme="1"/>
      <name val="Century Gothic (Body)"/>
    </font>
    <font>
      <b/>
      <sz val="11"/>
      <color rgb="FF000000"/>
      <name val="Century Gothic (Body)"/>
    </font>
    <font>
      <sz val="12"/>
      <color theme="0"/>
      <name val="Century Gothic"/>
      <family val="2"/>
      <scheme val="minor"/>
    </font>
    <font>
      <sz val="12"/>
      <color rgb="FFFF0000"/>
      <name val="Century Gothic"/>
      <family val="2"/>
      <scheme val="minor"/>
    </font>
    <font>
      <sz val="12"/>
      <color rgb="FF000000"/>
      <name val="Century Gothic"/>
      <family val="2"/>
      <scheme val="minor"/>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24994659260841701"/>
        <bgColor indexed="64"/>
      </patternFill>
    </fill>
    <fill>
      <patternFill patternType="solid">
        <fgColor theme="9"/>
        <bgColor indexed="64"/>
      </patternFill>
    </fill>
    <fill>
      <patternFill patternType="solid">
        <fgColor theme="5"/>
        <bgColor theme="5"/>
      </patternFill>
    </fill>
    <fill>
      <patternFill patternType="solid">
        <fgColor rgb="FFFFFF00"/>
        <bgColor indexed="64"/>
      </patternFill>
    </fill>
    <fill>
      <patternFill patternType="solid">
        <fgColor theme="8" tint="-0.249977111117893"/>
        <bgColor indexed="64"/>
      </patternFill>
    </fill>
    <fill>
      <patternFill patternType="solid">
        <fgColor rgb="FF00B050"/>
        <bgColor indexed="64"/>
      </patternFill>
    </fill>
    <fill>
      <patternFill patternType="solid">
        <fgColor rgb="FF7030A0"/>
        <bgColor indexed="64"/>
      </patternFill>
    </fill>
    <fill>
      <patternFill patternType="solid">
        <fgColor rgb="FF00FDFF"/>
        <bgColor indexed="64"/>
      </patternFill>
    </fill>
    <fill>
      <patternFill patternType="solid">
        <fgColor theme="5"/>
        <bgColor indexed="64"/>
      </patternFill>
    </fill>
    <fill>
      <patternFill patternType="solid">
        <fgColor rgb="FF9C1A03"/>
        <bgColor indexed="64"/>
      </patternFill>
    </fill>
    <fill>
      <patternFill patternType="solid">
        <fgColor rgb="FFFF0000"/>
        <bgColor indexed="64"/>
      </patternFill>
    </fill>
    <fill>
      <patternFill patternType="solid">
        <fgColor theme="1"/>
        <bgColor indexed="64"/>
      </patternFill>
    </fill>
    <fill>
      <patternFill patternType="solid">
        <fgColor rgb="FFFFFF00"/>
        <bgColor rgb="FF000000"/>
      </patternFill>
    </fill>
    <fill>
      <patternFill patternType="solid">
        <fgColor theme="8" tint="0.39997558519241921"/>
        <bgColor rgb="FF000000"/>
      </patternFill>
    </fill>
    <fill>
      <patternFill patternType="solid">
        <fgColor rgb="FFFC6950"/>
        <bgColor rgb="FF000000"/>
      </patternFill>
    </fill>
  </fills>
  <borders count="3">
    <border>
      <left/>
      <right/>
      <top/>
      <bottom/>
      <diagonal/>
    </border>
    <border>
      <left/>
      <right style="thick">
        <color theme="0"/>
      </right>
      <top/>
      <bottom style="thick">
        <color theme="0"/>
      </bottom>
      <diagonal/>
    </border>
    <border>
      <left/>
      <right/>
      <top style="thick">
        <color rgb="FFFFFFFF"/>
      </top>
      <bottom style="thick">
        <color rgb="FFFFFFFF"/>
      </bottom>
      <diagonal/>
    </border>
  </borders>
  <cellStyleXfs count="10">
    <xf numFmtId="0" fontId="0" fillId="0" borderId="0">
      <alignment vertical="center"/>
    </xf>
    <xf numFmtId="0" fontId="4" fillId="3" borderId="0" applyNumberFormat="0" applyProtection="0">
      <alignment horizontal="left" vertical="center" indent="1"/>
    </xf>
    <xf numFmtId="0" fontId="3" fillId="4" borderId="0" applyProtection="0">
      <alignment horizontal="left" vertical="center" wrapText="1" indent="1"/>
    </xf>
    <xf numFmtId="0" fontId="5" fillId="3" borderId="0" applyNumberFormat="0" applyProtection="0">
      <alignment horizontal="right" vertical="center"/>
    </xf>
    <xf numFmtId="164" fontId="6" fillId="0" borderId="0" applyProtection="0">
      <alignment horizontal="right" vertical="center" indent="1"/>
    </xf>
    <xf numFmtId="0" fontId="6" fillId="0" borderId="0" applyProtection="0">
      <alignment horizontal="right" vertical="center" indent="1"/>
    </xf>
    <xf numFmtId="0" fontId="2" fillId="0" borderId="0" applyProtection="0">
      <alignment horizontal="center" vertical="center"/>
    </xf>
    <xf numFmtId="0" fontId="2" fillId="0" borderId="0" applyProtection="0">
      <alignment horizontal="left" vertical="center" wrapText="1" indent="1"/>
    </xf>
    <xf numFmtId="165" fontId="2" fillId="2" borderId="0">
      <alignment horizontal="left" vertical="center" indent="1"/>
    </xf>
    <xf numFmtId="0" fontId="5" fillId="3" borderId="0" applyNumberFormat="0" applyProtection="0">
      <alignment horizontal="left" vertical="center" indent="1"/>
    </xf>
  </cellStyleXfs>
  <cellXfs count="139">
    <xf numFmtId="0" fontId="0" fillId="0" borderId="0" xfId="0">
      <alignment vertical="center"/>
    </xf>
    <xf numFmtId="0" fontId="0" fillId="0" borderId="0" xfId="0" applyAlignment="1">
      <alignment horizontal="right"/>
    </xf>
    <xf numFmtId="0" fontId="7" fillId="5" borderId="0" xfId="1" applyFont="1" applyFill="1" applyAlignment="1"/>
    <xf numFmtId="0" fontId="0" fillId="5" borderId="0" xfId="0" applyFill="1" applyAlignment="1">
      <alignment horizontal="left"/>
    </xf>
    <xf numFmtId="0" fontId="0" fillId="0" borderId="0" xfId="0" applyAlignment="1">
      <alignment horizontal="left"/>
    </xf>
    <xf numFmtId="0" fontId="8" fillId="5" borderId="0" xfId="3" applyFont="1" applyFill="1" applyAlignment="1">
      <alignment vertical="center"/>
    </xf>
    <xf numFmtId="0" fontId="0" fillId="5" borderId="0" xfId="0" applyFill="1" applyAlignment="1">
      <alignment horizontal="right"/>
    </xf>
    <xf numFmtId="0" fontId="0" fillId="5" borderId="0" xfId="3" applyFont="1" applyFill="1" applyAlignment="1">
      <alignment horizontal="left" vertical="center" indent="1"/>
    </xf>
    <xf numFmtId="0" fontId="9" fillId="5" borderId="0" xfId="1" applyFont="1" applyFill="1" applyAlignment="1"/>
    <xf numFmtId="0" fontId="8" fillId="0" borderId="0" xfId="0" applyFont="1">
      <alignment vertical="center"/>
    </xf>
    <xf numFmtId="0" fontId="10" fillId="0" borderId="0" xfId="0" applyFont="1">
      <alignment vertical="center"/>
    </xf>
    <xf numFmtId="0" fontId="10" fillId="7" borderId="0" xfId="0" applyFont="1" applyFill="1">
      <alignment vertical="center"/>
    </xf>
    <xf numFmtId="0" fontId="13" fillId="0" borderId="0" xfId="0" applyFont="1">
      <alignment vertical="center"/>
    </xf>
    <xf numFmtId="4" fontId="12" fillId="7" borderId="0" xfId="0" applyNumberFormat="1" applyFont="1" applyFill="1">
      <alignment vertical="center"/>
    </xf>
    <xf numFmtId="0" fontId="14" fillId="8" borderId="0" xfId="0" applyFont="1" applyFill="1">
      <alignment vertical="center"/>
    </xf>
    <xf numFmtId="0" fontId="14" fillId="9" borderId="0" xfId="0" applyFont="1" applyFill="1">
      <alignment vertical="center"/>
    </xf>
    <xf numFmtId="0" fontId="10" fillId="10" borderId="0" xfId="0" applyFont="1" applyFill="1">
      <alignment vertical="center"/>
    </xf>
    <xf numFmtId="0" fontId="10" fillId="10" borderId="0" xfId="7" applyFont="1" applyFill="1">
      <alignment horizontal="left" vertical="center" wrapText="1" indent="1"/>
    </xf>
    <xf numFmtId="0" fontId="10" fillId="10" borderId="0" xfId="5" applyFont="1" applyFill="1" applyAlignment="1">
      <alignment horizontal="left" vertical="center" indent="1"/>
    </xf>
    <xf numFmtId="0" fontId="1" fillId="5" borderId="0" xfId="3" applyFont="1" applyFill="1" applyAlignment="1">
      <alignment horizontal="left" vertical="center" indent="1"/>
    </xf>
    <xf numFmtId="0" fontId="3" fillId="6" borderId="1" xfId="0" applyFont="1" applyFill="1" applyBorder="1" applyAlignment="1">
      <alignment horizontal="left" vertical="center" indent="1"/>
    </xf>
    <xf numFmtId="0" fontId="16" fillId="0" borderId="0" xfId="0" applyFont="1" applyAlignment="1">
      <alignment horizontal="left" vertical="center" indent="1"/>
    </xf>
    <xf numFmtId="0" fontId="18" fillId="0" borderId="0" xfId="0" applyFont="1">
      <alignment vertical="center"/>
    </xf>
    <xf numFmtId="0" fontId="18" fillId="0" borderId="0" xfId="7" applyFont="1">
      <alignment horizontal="left" vertical="center" wrapText="1" indent="1"/>
    </xf>
    <xf numFmtId="0" fontId="18" fillId="0" borderId="0" xfId="5" applyFont="1" applyAlignment="1">
      <alignment horizontal="left" vertical="center" indent="1"/>
    </xf>
    <xf numFmtId="0" fontId="19" fillId="0" borderId="0" xfId="0" applyFont="1">
      <alignment vertical="center"/>
    </xf>
    <xf numFmtId="0" fontId="19" fillId="0" borderId="0" xfId="7" applyFont="1">
      <alignment horizontal="left" vertical="center" wrapText="1" indent="1"/>
    </xf>
    <xf numFmtId="0" fontId="19" fillId="0" borderId="0" xfId="5" applyFont="1" applyAlignment="1">
      <alignment horizontal="left" vertical="center" indent="1"/>
    </xf>
    <xf numFmtId="0" fontId="19" fillId="7" borderId="0" xfId="0" applyFont="1" applyFill="1">
      <alignment vertical="center"/>
    </xf>
    <xf numFmtId="0" fontId="19" fillId="7" borderId="0" xfId="7" applyFont="1" applyFill="1">
      <alignment horizontal="left" vertical="center" wrapText="1" indent="1"/>
    </xf>
    <xf numFmtId="0" fontId="19" fillId="7" borderId="0" xfId="5" applyFont="1" applyFill="1" applyAlignment="1">
      <alignment horizontal="left" vertical="center" indent="1"/>
    </xf>
    <xf numFmtId="0" fontId="20" fillId="8" borderId="0" xfId="0" applyFont="1" applyFill="1">
      <alignment vertical="center"/>
    </xf>
    <xf numFmtId="14" fontId="20" fillId="8" borderId="0" xfId="0" applyNumberFormat="1" applyFont="1" applyFill="1">
      <alignment vertical="center"/>
    </xf>
    <xf numFmtId="0" fontId="20" fillId="8" borderId="0" xfId="7" applyFont="1" applyFill="1">
      <alignment horizontal="left" vertical="center" wrapText="1" indent="1"/>
    </xf>
    <xf numFmtId="0" fontId="20" fillId="8" borderId="0" xfId="5" applyFont="1" applyFill="1" applyAlignment="1">
      <alignment horizontal="left" vertical="center" indent="1"/>
    </xf>
    <xf numFmtId="0" fontId="19" fillId="0" borderId="0" xfId="0" applyFont="1" applyAlignment="1">
      <alignment horizontal="left" vertical="center"/>
    </xf>
    <xf numFmtId="166" fontId="0" fillId="0" borderId="0" xfId="0" applyNumberFormat="1" applyAlignment="1">
      <alignment horizontal="right"/>
    </xf>
    <xf numFmtId="166" fontId="0" fillId="5" borderId="0" xfId="0" applyNumberFormat="1" applyFill="1" applyAlignment="1">
      <alignment horizontal="left"/>
    </xf>
    <xf numFmtId="166" fontId="0" fillId="5" borderId="0" xfId="0" applyNumberFormat="1" applyFill="1" applyAlignment="1">
      <alignment horizontal="right"/>
    </xf>
    <xf numFmtId="166" fontId="16" fillId="0" borderId="0" xfId="0" applyNumberFormat="1" applyFont="1" applyAlignment="1">
      <alignment horizontal="left" vertical="center" indent="1"/>
    </xf>
    <xf numFmtId="166" fontId="19" fillId="7" borderId="0" xfId="4" applyNumberFormat="1" applyFont="1" applyFill="1" applyAlignment="1">
      <alignment horizontal="left" vertical="center" indent="1"/>
    </xf>
    <xf numFmtId="167" fontId="19" fillId="0" borderId="0" xfId="4" applyNumberFormat="1" applyFont="1" applyAlignment="1">
      <alignment horizontal="left" vertical="center" indent="1"/>
    </xf>
    <xf numFmtId="167" fontId="19" fillId="7" borderId="0" xfId="0" applyNumberFormat="1" applyFont="1" applyFill="1">
      <alignment vertical="center"/>
    </xf>
    <xf numFmtId="167" fontId="19" fillId="7" borderId="0" xfId="4" applyNumberFormat="1" applyFont="1" applyFill="1" applyAlignment="1">
      <alignment horizontal="left" vertical="center" indent="1"/>
    </xf>
    <xf numFmtId="167" fontId="20" fillId="8" borderId="0" xfId="0" applyNumberFormat="1" applyFont="1" applyFill="1">
      <alignment vertical="center"/>
    </xf>
    <xf numFmtId="167" fontId="10" fillId="10" borderId="0" xfId="4" applyNumberFormat="1" applyFont="1" applyFill="1" applyAlignment="1">
      <alignment horizontal="left" vertical="center" indent="1"/>
    </xf>
    <xf numFmtId="167" fontId="18" fillId="0" borderId="0" xfId="4" applyNumberFormat="1" applyFont="1" applyAlignment="1">
      <alignment horizontal="left" vertical="center" indent="1"/>
    </xf>
    <xf numFmtId="167" fontId="0" fillId="0" borderId="0" xfId="0" applyNumberFormat="1" applyAlignment="1">
      <alignment horizontal="right"/>
    </xf>
    <xf numFmtId="167" fontId="0" fillId="5" borderId="0" xfId="0" applyNumberFormat="1" applyFill="1" applyAlignment="1">
      <alignment horizontal="left"/>
    </xf>
    <xf numFmtId="167" fontId="0" fillId="5" borderId="0" xfId="0" applyNumberFormat="1" applyFill="1" applyAlignment="1">
      <alignment horizontal="right"/>
    </xf>
    <xf numFmtId="167" fontId="17" fillId="12" borderId="0" xfId="0" applyNumberFormat="1" applyFont="1" applyFill="1" applyAlignment="1">
      <alignment horizontal="left" vertical="center" indent="1"/>
    </xf>
    <xf numFmtId="167" fontId="19" fillId="11" borderId="0" xfId="4" applyNumberFormat="1" applyFont="1" applyFill="1" applyAlignment="1">
      <alignment horizontal="left" vertical="center" indent="1"/>
    </xf>
    <xf numFmtId="167" fontId="20" fillId="13" borderId="0" xfId="4" applyNumberFormat="1" applyFont="1" applyFill="1" applyAlignment="1">
      <alignment horizontal="left" vertical="center" indent="1"/>
    </xf>
    <xf numFmtId="167" fontId="10" fillId="12" borderId="0" xfId="4" applyNumberFormat="1" applyFont="1" applyFill="1" applyAlignment="1">
      <alignment horizontal="left" vertical="center" indent="1"/>
    </xf>
    <xf numFmtId="167" fontId="18" fillId="0" borderId="0" xfId="0" applyNumberFormat="1" applyFont="1" applyAlignment="1">
      <alignment horizontal="right"/>
    </xf>
    <xf numFmtId="168" fontId="0" fillId="0" borderId="0" xfId="0" applyNumberFormat="1">
      <alignment vertical="center"/>
    </xf>
    <xf numFmtId="168" fontId="0" fillId="5" borderId="0" xfId="0" applyNumberFormat="1" applyFill="1" applyAlignment="1">
      <alignment horizontal="left"/>
    </xf>
    <xf numFmtId="168" fontId="5" fillId="5" borderId="0" xfId="3" applyNumberFormat="1" applyFill="1">
      <alignment horizontal="right" vertical="center"/>
    </xf>
    <xf numFmtId="168" fontId="16" fillId="0" borderId="0" xfId="0" applyNumberFormat="1" applyFont="1" applyAlignment="1">
      <alignment horizontal="left" vertical="center" indent="1"/>
    </xf>
    <xf numFmtId="167" fontId="21" fillId="7" borderId="0" xfId="4" applyNumberFormat="1" applyFont="1" applyFill="1" applyAlignment="1">
      <alignment horizontal="left" vertical="center" indent="1"/>
    </xf>
    <xf numFmtId="4" fontId="18" fillId="0" borderId="0" xfId="6" applyNumberFormat="1" applyFont="1" applyAlignment="1">
      <alignment horizontal="left" vertical="center" indent="1"/>
    </xf>
    <xf numFmtId="4" fontId="10" fillId="7" borderId="0" xfId="4" applyNumberFormat="1" applyFont="1" applyFill="1" applyAlignment="1">
      <alignment horizontal="left" vertical="center" indent="1"/>
    </xf>
    <xf numFmtId="4" fontId="18" fillId="0" borderId="0" xfId="0" applyNumberFormat="1" applyFont="1">
      <alignment vertical="center"/>
    </xf>
    <xf numFmtId="4" fontId="10" fillId="7" borderId="0" xfId="0" applyNumberFormat="1" applyFont="1" applyFill="1">
      <alignment vertical="center"/>
    </xf>
    <xf numFmtId="4" fontId="15" fillId="8" borderId="0" xfId="0" applyNumberFormat="1" applyFont="1" applyFill="1">
      <alignment vertical="center"/>
    </xf>
    <xf numFmtId="4" fontId="10" fillId="0" borderId="0" xfId="0" applyNumberFormat="1" applyFont="1">
      <alignment vertical="center"/>
    </xf>
    <xf numFmtId="4" fontId="10" fillId="10" borderId="0" xfId="0" applyNumberFormat="1" applyFont="1" applyFill="1">
      <alignment vertical="center"/>
    </xf>
    <xf numFmtId="167" fontId="10" fillId="7" borderId="0" xfId="0" applyNumberFormat="1" applyFont="1" applyFill="1">
      <alignment vertical="center"/>
    </xf>
    <xf numFmtId="4" fontId="18" fillId="9" borderId="0" xfId="0" applyNumberFormat="1" applyFont="1" applyFill="1">
      <alignment vertical="center"/>
    </xf>
    <xf numFmtId="167" fontId="18" fillId="11" borderId="0" xfId="4" applyNumberFormat="1" applyFont="1" applyFill="1" applyAlignment="1">
      <alignment horizontal="left" vertical="center" indent="1"/>
    </xf>
    <xf numFmtId="167" fontId="10" fillId="11" borderId="0" xfId="4" applyNumberFormat="1" applyFont="1" applyFill="1" applyAlignment="1">
      <alignment horizontal="left" vertical="center" indent="1"/>
    </xf>
    <xf numFmtId="0" fontId="19" fillId="10" borderId="0" xfId="7" applyFont="1" applyFill="1">
      <alignment horizontal="left" vertical="center" wrapText="1" indent="1"/>
    </xf>
    <xf numFmtId="0" fontId="21" fillId="14" borderId="0" xfId="0" applyFont="1" applyFill="1">
      <alignment vertical="center"/>
    </xf>
    <xf numFmtId="0" fontId="22" fillId="0" borderId="0" xfId="0" applyFont="1" applyAlignment="1">
      <alignment horizontal="left" vertical="center" indent="1"/>
    </xf>
    <xf numFmtId="167" fontId="19" fillId="2" borderId="0" xfId="4" applyNumberFormat="1" applyFont="1" applyFill="1" applyAlignment="1">
      <alignment horizontal="left" vertical="center" indent="1"/>
    </xf>
    <xf numFmtId="167" fontId="10" fillId="0" borderId="0" xfId="0" applyNumberFormat="1" applyFont="1">
      <alignment vertical="center"/>
    </xf>
    <xf numFmtId="0" fontId="18" fillId="0" borderId="0" xfId="0" applyFont="1" applyAlignment="1">
      <alignment horizontal="left" vertical="center"/>
    </xf>
    <xf numFmtId="0" fontId="19" fillId="11" borderId="0" xfId="5" applyFont="1" applyFill="1" applyAlignment="1">
      <alignment horizontal="left" vertical="center" indent="1"/>
    </xf>
    <xf numFmtId="167" fontId="23" fillId="11" borderId="0" xfId="4" applyNumberFormat="1" applyFont="1" applyFill="1" applyAlignment="1">
      <alignment horizontal="left" vertical="center" indent="1"/>
    </xf>
    <xf numFmtId="0" fontId="21" fillId="0" borderId="0" xfId="7" applyFont="1">
      <alignment horizontal="left" vertical="center" wrapText="1" indent="1"/>
    </xf>
    <xf numFmtId="0" fontId="24" fillId="0" borderId="0" xfId="7" applyFont="1">
      <alignment horizontal="left" vertical="center" wrapText="1" indent="1"/>
    </xf>
    <xf numFmtId="167" fontId="21" fillId="11" borderId="0" xfId="4" applyNumberFormat="1" applyFont="1" applyFill="1" applyAlignment="1">
      <alignment horizontal="left" vertical="center" indent="1"/>
    </xf>
    <xf numFmtId="0" fontId="21" fillId="0" borderId="0" xfId="5" applyFont="1" applyAlignment="1">
      <alignment horizontal="left" vertical="center" indent="1"/>
    </xf>
    <xf numFmtId="167" fontId="21" fillId="0" borderId="0" xfId="4" applyNumberFormat="1" applyFont="1" applyAlignment="1">
      <alignment horizontal="left" vertical="center" indent="1"/>
    </xf>
    <xf numFmtId="4" fontId="26" fillId="0" borderId="0" xfId="0" applyNumberFormat="1" applyFont="1">
      <alignment vertical="center"/>
    </xf>
    <xf numFmtId="0" fontId="26" fillId="0" borderId="0" xfId="0" applyFont="1">
      <alignment vertical="center"/>
    </xf>
    <xf numFmtId="0" fontId="27" fillId="0" borderId="0" xfId="0" applyFont="1">
      <alignment vertical="center"/>
    </xf>
    <xf numFmtId="167" fontId="24" fillId="11" borderId="0" xfId="4" applyNumberFormat="1" applyFont="1" applyFill="1" applyAlignment="1">
      <alignment horizontal="left" vertical="center" indent="1"/>
    </xf>
    <xf numFmtId="0" fontId="24" fillId="0" borderId="0" xfId="5" applyFont="1" applyAlignment="1">
      <alignment horizontal="left" vertical="center" indent="1"/>
    </xf>
    <xf numFmtId="167" fontId="24" fillId="0" borderId="0" xfId="4" applyNumberFormat="1" applyFont="1" applyAlignment="1">
      <alignment horizontal="left" vertical="center" indent="1"/>
    </xf>
    <xf numFmtId="4" fontId="27" fillId="0" borderId="0" xfId="0" applyNumberFormat="1" applyFont="1">
      <alignment vertical="center"/>
    </xf>
    <xf numFmtId="0" fontId="25" fillId="0" borderId="0" xfId="0" applyFont="1">
      <alignment vertical="center"/>
    </xf>
    <xf numFmtId="0" fontId="18" fillId="2" borderId="0" xfId="0" applyFont="1" applyFill="1">
      <alignment vertical="center"/>
    </xf>
    <xf numFmtId="0" fontId="19" fillId="2" borderId="0" xfId="7" applyFont="1" applyFill="1">
      <alignment horizontal="left" vertical="center" wrapText="1" indent="1"/>
    </xf>
    <xf numFmtId="0" fontId="19" fillId="2" borderId="0" xfId="5" applyFont="1" applyFill="1" applyAlignment="1">
      <alignment horizontal="left" vertical="center" indent="1"/>
    </xf>
    <xf numFmtId="167" fontId="10" fillId="2" borderId="0" xfId="0" applyNumberFormat="1" applyFont="1" applyFill="1">
      <alignment vertical="center"/>
    </xf>
    <xf numFmtId="0" fontId="0" fillId="2" borderId="0" xfId="0" applyFill="1">
      <alignment vertical="center"/>
    </xf>
    <xf numFmtId="167" fontId="18" fillId="7" borderId="0" xfId="0" applyNumberFormat="1" applyFont="1" applyFill="1" applyAlignment="1">
      <alignment horizontal="right"/>
    </xf>
    <xf numFmtId="0" fontId="28" fillId="2" borderId="0" xfId="7" applyFont="1" applyFill="1" applyAlignment="1">
      <alignment vertical="center" wrapText="1"/>
    </xf>
    <xf numFmtId="0" fontId="19" fillId="0" borderId="0" xfId="7" applyFont="1" applyAlignment="1">
      <alignment vertical="center" wrapText="1"/>
    </xf>
    <xf numFmtId="0" fontId="24" fillId="2" borderId="0" xfId="7" applyFont="1" applyFill="1" applyAlignment="1">
      <alignment vertical="center" wrapText="1"/>
    </xf>
    <xf numFmtId="0" fontId="19" fillId="15" borderId="0" xfId="0" applyFont="1" applyFill="1">
      <alignment vertical="center"/>
    </xf>
    <xf numFmtId="0" fontId="19" fillId="15" borderId="0" xfId="7" applyFont="1" applyFill="1">
      <alignment horizontal="left" vertical="center" wrapText="1" indent="1"/>
    </xf>
    <xf numFmtId="166" fontId="19" fillId="15" borderId="0" xfId="4" applyNumberFormat="1" applyFont="1" applyFill="1" applyAlignment="1">
      <alignment horizontal="left" vertical="center" indent="1"/>
    </xf>
    <xf numFmtId="167" fontId="10" fillId="15" borderId="0" xfId="4" applyNumberFormat="1" applyFont="1" applyFill="1" applyAlignment="1">
      <alignment horizontal="left" vertical="center" indent="1"/>
    </xf>
    <xf numFmtId="167" fontId="18" fillId="15" borderId="0" xfId="0" applyNumberFormat="1" applyFont="1" applyFill="1" applyAlignment="1">
      <alignment horizontal="right"/>
    </xf>
    <xf numFmtId="4" fontId="10" fillId="15" borderId="0" xfId="0" applyNumberFormat="1" applyFont="1" applyFill="1">
      <alignment vertical="center"/>
    </xf>
    <xf numFmtId="167" fontId="34" fillId="7" borderId="0" xfId="4" applyNumberFormat="1" applyFont="1" applyFill="1" applyAlignment="1">
      <alignment horizontal="left" vertical="center" indent="1"/>
    </xf>
    <xf numFmtId="0" fontId="30" fillId="16" borderId="0" xfId="0" applyFont="1" applyFill="1">
      <alignment vertical="center"/>
    </xf>
    <xf numFmtId="0" fontId="29" fillId="16" borderId="0" xfId="0" applyFont="1" applyFill="1" applyAlignment="1">
      <alignment horizontal="left" vertical="center" wrapText="1" indent="1"/>
    </xf>
    <xf numFmtId="0" fontId="30" fillId="16" borderId="2" xfId="0" applyFont="1" applyFill="1" applyBorder="1" applyAlignment="1">
      <alignment horizontal="left" vertical="center" wrapText="1" indent="1"/>
    </xf>
    <xf numFmtId="166" fontId="30" fillId="16" borderId="2" xfId="0" applyNumberFormat="1" applyFont="1" applyFill="1" applyBorder="1" applyAlignment="1">
      <alignment horizontal="left" vertical="center" indent="1"/>
    </xf>
    <xf numFmtId="167" fontId="31" fillId="16" borderId="2" xfId="0" applyNumberFormat="1" applyFont="1" applyFill="1" applyBorder="1" applyAlignment="1">
      <alignment horizontal="right"/>
    </xf>
    <xf numFmtId="167" fontId="32" fillId="16" borderId="2" xfId="0" applyNumberFormat="1" applyFont="1" applyFill="1" applyBorder="1">
      <alignment vertical="center"/>
    </xf>
    <xf numFmtId="0" fontId="31" fillId="0" borderId="2" xfId="0" applyFont="1" applyBorder="1">
      <alignment vertical="center"/>
    </xf>
    <xf numFmtId="0" fontId="33" fillId="0" borderId="0" xfId="0" applyFont="1">
      <alignment vertical="center"/>
    </xf>
    <xf numFmtId="0" fontId="30" fillId="17" borderId="0" xfId="0" applyFont="1" applyFill="1">
      <alignment vertical="center"/>
    </xf>
    <xf numFmtId="0" fontId="29" fillId="17" borderId="0" xfId="0" applyFont="1" applyFill="1" applyAlignment="1">
      <alignment horizontal="left" vertical="center" wrapText="1" indent="1"/>
    </xf>
    <xf numFmtId="0" fontId="30" fillId="17" borderId="2" xfId="0" applyFont="1" applyFill="1" applyBorder="1" applyAlignment="1">
      <alignment horizontal="left" vertical="center" wrapText="1" indent="1"/>
    </xf>
    <xf numFmtId="166" fontId="30" fillId="17" borderId="2" xfId="0" applyNumberFormat="1" applyFont="1" applyFill="1" applyBorder="1" applyAlignment="1">
      <alignment horizontal="left" vertical="center" indent="1"/>
    </xf>
    <xf numFmtId="167" fontId="35" fillId="17" borderId="2" xfId="0" applyNumberFormat="1" applyFont="1" applyFill="1" applyBorder="1" applyAlignment="1">
      <alignment horizontal="left" vertical="center" indent="1"/>
    </xf>
    <xf numFmtId="167" fontId="31" fillId="17" borderId="2" xfId="0" applyNumberFormat="1" applyFont="1" applyFill="1" applyBorder="1" applyAlignment="1">
      <alignment horizontal="right"/>
    </xf>
    <xf numFmtId="167" fontId="32" fillId="17" borderId="2" xfId="0" applyNumberFormat="1" applyFont="1" applyFill="1" applyBorder="1">
      <alignment vertical="center"/>
    </xf>
    <xf numFmtId="0" fontId="31" fillId="0" borderId="0" xfId="0" applyFont="1" applyBorder="1">
      <alignment vertical="center"/>
    </xf>
    <xf numFmtId="0" fontId="30" fillId="18" borderId="0" xfId="0" applyFont="1" applyFill="1">
      <alignment vertical="center"/>
    </xf>
    <xf numFmtId="0" fontId="29" fillId="18" borderId="0" xfId="0" applyFont="1" applyFill="1" applyAlignment="1">
      <alignment horizontal="left" vertical="center" wrapText="1" indent="1"/>
    </xf>
    <xf numFmtId="0" fontId="30" fillId="18" borderId="2" xfId="0" applyFont="1" applyFill="1" applyBorder="1" applyAlignment="1">
      <alignment horizontal="left" vertical="center" wrapText="1" indent="1"/>
    </xf>
    <xf numFmtId="166" fontId="30" fillId="18" borderId="2" xfId="0" applyNumberFormat="1" applyFont="1" applyFill="1" applyBorder="1" applyAlignment="1">
      <alignment horizontal="left" vertical="center" indent="1"/>
    </xf>
    <xf numFmtId="167" fontId="31" fillId="18" borderId="2" xfId="0" applyNumberFormat="1" applyFont="1" applyFill="1" applyBorder="1" applyAlignment="1">
      <alignment horizontal="right"/>
    </xf>
    <xf numFmtId="167" fontId="32" fillId="18" borderId="2" xfId="0" applyNumberFormat="1" applyFont="1" applyFill="1" applyBorder="1">
      <alignment vertical="center"/>
    </xf>
    <xf numFmtId="166" fontId="1" fillId="0" borderId="0" xfId="4" applyNumberFormat="1" applyFont="1" applyFill="1" applyAlignment="1">
      <alignment horizontal="left" vertical="center" indent="1"/>
    </xf>
    <xf numFmtId="166" fontId="36" fillId="0" borderId="0" xfId="4" applyNumberFormat="1" applyFont="1" applyFill="1" applyAlignment="1">
      <alignment horizontal="left" vertical="center" indent="1"/>
    </xf>
    <xf numFmtId="166" fontId="2" fillId="0" borderId="0" xfId="4" applyNumberFormat="1" applyFont="1" applyFill="1" applyAlignment="1">
      <alignment horizontal="left" vertical="center" indent="1"/>
    </xf>
    <xf numFmtId="167" fontId="1" fillId="0" borderId="0" xfId="4" applyNumberFormat="1" applyFont="1" applyFill="1" applyAlignment="1">
      <alignment horizontal="left" vertical="center" indent="1"/>
    </xf>
    <xf numFmtId="166" fontId="37" fillId="0" borderId="0" xfId="4" applyNumberFormat="1" applyFont="1" applyFill="1" applyAlignment="1">
      <alignment horizontal="left" vertical="center" indent="1"/>
    </xf>
    <xf numFmtId="166" fontId="38" fillId="0" borderId="2" xfId="0" applyNumberFormat="1" applyFont="1" applyFill="1" applyBorder="1" applyAlignment="1">
      <alignment horizontal="left" vertical="center" indent="1"/>
    </xf>
    <xf numFmtId="166" fontId="0" fillId="0" borderId="0" xfId="0" applyNumberFormat="1" applyFont="1" applyFill="1" applyAlignment="1">
      <alignment horizontal="right"/>
    </xf>
    <xf numFmtId="167" fontId="31" fillId="16" borderId="2" xfId="0" applyNumberFormat="1" applyFont="1" applyFill="1" applyBorder="1" applyAlignment="1">
      <alignment horizontal="left"/>
    </xf>
    <xf numFmtId="166" fontId="38" fillId="7" borderId="2" xfId="0" applyNumberFormat="1" applyFont="1" applyFill="1" applyBorder="1" applyAlignment="1">
      <alignment horizontal="left" vertical="center" indent="1"/>
    </xf>
  </cellXfs>
  <cellStyles count="10">
    <cellStyle name="Discontinued" xfId="6"/>
    <cellStyle name="Flag Column" xfId="8"/>
    <cellStyle name="Heading 1" xfId="2" builtinId="16" customBuiltin="1"/>
    <cellStyle name="Heading 2" xfId="3" builtinId="17" customBuiltin="1"/>
    <cellStyle name="Heading 3" xfId="9" builtinId="18" customBuiltin="1"/>
    <cellStyle name="Normal" xfId="0" builtinId="0" customBuiltin="1"/>
    <cellStyle name="Table currency" xfId="4"/>
    <cellStyle name="Table details left" xfId="7"/>
    <cellStyle name="Table details right" xfId="5"/>
    <cellStyle name="Title" xfId="1" builtinId="15" customBuiltin="1"/>
  </cellStyles>
  <dxfs count="211">
    <dxf>
      <font>
        <b/>
      </font>
    </dxf>
    <dxf>
      <font>
        <b/>
      </font>
      <numFmt numFmtId="4" formatCode="#,##0.00"/>
    </dxf>
    <dxf>
      <font>
        <b/>
      </font>
      <numFmt numFmtId="167" formatCode="[$₹-439]#,##0.00"/>
    </dxf>
    <dxf>
      <font>
        <b/>
      </font>
    </dxf>
    <dxf>
      <font>
        <b/>
        <i val="0"/>
        <strike val="0"/>
        <condense val="0"/>
        <extend val="0"/>
        <outline val="0"/>
        <shadow val="0"/>
        <u val="none"/>
        <vertAlign val="baseline"/>
        <sz val="11"/>
        <color theme="1"/>
        <name val="Century Gothic"/>
        <scheme val="minor"/>
      </font>
      <numFmt numFmtId="167" formatCode="[$₹-439]#,##0.00"/>
      <fill>
        <patternFill patternType="solid">
          <fgColor indexed="64"/>
          <bgColor rgb="FF00FDFF"/>
        </patternFill>
      </fill>
      <alignment horizontal="left" vertical="center" textRotation="0" wrapText="0" indent="1" justifyLastLine="0" shrinkToFit="0" readingOrder="0"/>
    </dxf>
    <dxf>
      <font>
        <b val="0"/>
      </font>
      <numFmt numFmtId="166" formatCode="[$₹-820]#,##0.00"/>
      <fill>
        <patternFill patternType="none">
          <bgColor auto="1"/>
        </patternFill>
      </fill>
    </dxf>
    <dxf>
      <font>
        <b/>
      </font>
    </dxf>
    <dxf>
      <font>
        <b/>
      </font>
    </dxf>
    <dxf>
      <font>
        <b/>
      </font>
    </dxf>
    <dxf>
      <font>
        <b/>
        <strike val="0"/>
        <outline val="0"/>
        <shadow val="0"/>
        <u val="none"/>
        <vertAlign val="baseline"/>
        <sz val="12"/>
        <color theme="1"/>
        <name val="Century Gothic"/>
        <scheme val="major"/>
      </font>
      <alignment horizontal="left" vertical="center" textRotation="0" wrapText="0" indent="1" justifyLastLine="0" shrinkToFit="0" readingOrder="0"/>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color auto="1"/>
      </font>
      <fill>
        <patternFill patternType="none">
          <bgColor auto="1"/>
        </patternFill>
      </fill>
      <border diagonalUp="0" diagonalDown="0">
        <left/>
        <right/>
        <top/>
        <bottom style="thin">
          <color theme="0"/>
        </bottom>
        <vertical style="thin">
          <color theme="0"/>
        </vertical>
        <horizontal/>
      </border>
    </dxf>
    <dxf>
      <font>
        <b val="0"/>
        <i val="0"/>
        <color theme="0"/>
      </font>
      <fill>
        <patternFill>
          <fgColor theme="5"/>
          <bgColor theme="5"/>
        </patternFill>
      </fill>
      <border>
        <top/>
        <bottom style="thick">
          <color theme="0"/>
        </bottom>
        <vertical style="thick">
          <color theme="0"/>
        </vertical>
      </border>
    </dxf>
    <dxf>
      <font>
        <color theme="1"/>
      </font>
      <border>
        <vertical/>
        <horizontal style="thick">
          <color theme="0"/>
        </horizontal>
      </border>
    </dxf>
  </dxfs>
  <tableStyles count="1" defaultTableStyle="Inventory List" defaultPivotStyle="PivotStyleLight16">
    <tableStyle name="Inventory List" pivot="0" count="3">
      <tableStyleElement type="wholeTable" dxfId="210"/>
      <tableStyleElement type="headerRow" dxfId="209"/>
      <tableStyleElement type="firstColumn" dxfId="208"/>
    </tableStyle>
  </tableStyles>
  <colors>
    <mruColors>
      <color rgb="FF00FDFF"/>
      <color rgb="FF9C1A03"/>
      <color rgb="FF5C79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88900</xdr:colOff>
      <xdr:row>436</xdr:row>
      <xdr:rowOff>139700</xdr:rowOff>
    </xdr:from>
    <xdr:to>
      <xdr:col>8</xdr:col>
      <xdr:colOff>317500</xdr:colOff>
      <xdr:row>437</xdr:row>
      <xdr:rowOff>0</xdr:rowOff>
    </xdr:to>
    <xdr:sp macro="" textlink="">
      <xdr:nvSpPr>
        <xdr:cNvPr id="2" name="Down Arrow 1">
          <a:extLst>
            <a:ext uri="{FF2B5EF4-FFF2-40B4-BE49-F238E27FC236}">
              <a16:creationId xmlns:a16="http://schemas.microsoft.com/office/drawing/2014/main" xmlns="" id="{00000000-0008-0000-0000-000002000000}"/>
            </a:ext>
          </a:extLst>
        </xdr:cNvPr>
        <xdr:cNvSpPr/>
      </xdr:nvSpPr>
      <xdr:spPr>
        <a:xfrm>
          <a:off x="11836400" y="165455600"/>
          <a:ext cx="228600" cy="2413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673100</xdr:colOff>
      <xdr:row>25</xdr:row>
      <xdr:rowOff>25400</xdr:rowOff>
    </xdr:from>
    <xdr:to>
      <xdr:col>7</xdr:col>
      <xdr:colOff>0</xdr:colOff>
      <xdr:row>25</xdr:row>
      <xdr:rowOff>342900</xdr:rowOff>
    </xdr:to>
    <xdr:sp macro="" textlink="">
      <xdr:nvSpPr>
        <xdr:cNvPr id="3" name="Up Arrow 2">
          <a:extLst>
            <a:ext uri="{FF2B5EF4-FFF2-40B4-BE49-F238E27FC236}">
              <a16:creationId xmlns:a16="http://schemas.microsoft.com/office/drawing/2014/main" xmlns="" id="{00000000-0008-0000-0000-000003000000}"/>
            </a:ext>
          </a:extLst>
        </xdr:cNvPr>
        <xdr:cNvSpPr/>
      </xdr:nvSpPr>
      <xdr:spPr>
        <a:xfrm>
          <a:off x="10414000" y="101854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46</xdr:row>
      <xdr:rowOff>0</xdr:rowOff>
    </xdr:from>
    <xdr:to>
      <xdr:col>9</xdr:col>
      <xdr:colOff>0</xdr:colOff>
      <xdr:row>46</xdr:row>
      <xdr:rowOff>317500</xdr:rowOff>
    </xdr:to>
    <xdr:sp macro="" textlink="">
      <xdr:nvSpPr>
        <xdr:cNvPr id="4" name="Up Arrow 3">
          <a:extLst>
            <a:ext uri="{FF2B5EF4-FFF2-40B4-BE49-F238E27FC236}">
              <a16:creationId xmlns:a16="http://schemas.microsoft.com/office/drawing/2014/main" xmlns="" id="{00000000-0008-0000-0000-000004000000}"/>
            </a:ext>
          </a:extLst>
        </xdr:cNvPr>
        <xdr:cNvSpPr/>
      </xdr:nvSpPr>
      <xdr:spPr>
        <a:xfrm>
          <a:off x="11747500" y="18161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889000</xdr:colOff>
      <xdr:row>67</xdr:row>
      <xdr:rowOff>50800</xdr:rowOff>
    </xdr:from>
    <xdr:to>
      <xdr:col>7</xdr:col>
      <xdr:colOff>215900</xdr:colOff>
      <xdr:row>67</xdr:row>
      <xdr:rowOff>368300</xdr:rowOff>
    </xdr:to>
    <xdr:sp macro="" textlink="">
      <xdr:nvSpPr>
        <xdr:cNvPr id="5" name="Up Arrow 4">
          <a:extLst>
            <a:ext uri="{FF2B5EF4-FFF2-40B4-BE49-F238E27FC236}">
              <a16:creationId xmlns:a16="http://schemas.microsoft.com/office/drawing/2014/main" xmlns="" id="{00000000-0008-0000-0000-000005000000}"/>
            </a:ext>
          </a:extLst>
        </xdr:cNvPr>
        <xdr:cNvSpPr/>
      </xdr:nvSpPr>
      <xdr:spPr>
        <a:xfrm>
          <a:off x="10629900" y="262128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88</xdr:row>
      <xdr:rowOff>0</xdr:rowOff>
    </xdr:from>
    <xdr:to>
      <xdr:col>6</xdr:col>
      <xdr:colOff>355600</xdr:colOff>
      <xdr:row>88</xdr:row>
      <xdr:rowOff>317500</xdr:rowOff>
    </xdr:to>
    <xdr:sp macro="" textlink="">
      <xdr:nvSpPr>
        <xdr:cNvPr id="6" name="Up Arrow 5">
          <a:extLst>
            <a:ext uri="{FF2B5EF4-FFF2-40B4-BE49-F238E27FC236}">
              <a16:creationId xmlns:a16="http://schemas.microsoft.com/office/drawing/2014/main" xmlns="" id="{00000000-0008-0000-0000-000006000000}"/>
            </a:ext>
          </a:extLst>
        </xdr:cNvPr>
        <xdr:cNvSpPr/>
      </xdr:nvSpPr>
      <xdr:spPr>
        <a:xfrm>
          <a:off x="9740900" y="34163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109</xdr:row>
      <xdr:rowOff>0</xdr:rowOff>
    </xdr:from>
    <xdr:to>
      <xdr:col>6</xdr:col>
      <xdr:colOff>355600</xdr:colOff>
      <xdr:row>109</xdr:row>
      <xdr:rowOff>317500</xdr:rowOff>
    </xdr:to>
    <xdr:sp macro="" textlink="">
      <xdr:nvSpPr>
        <xdr:cNvPr id="7" name="Up Arrow 6">
          <a:extLst>
            <a:ext uri="{FF2B5EF4-FFF2-40B4-BE49-F238E27FC236}">
              <a16:creationId xmlns:a16="http://schemas.microsoft.com/office/drawing/2014/main" xmlns="" id="{00000000-0008-0000-0000-000007000000}"/>
            </a:ext>
          </a:extLst>
        </xdr:cNvPr>
        <xdr:cNvSpPr/>
      </xdr:nvSpPr>
      <xdr:spPr>
        <a:xfrm>
          <a:off x="9740900" y="42164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203200</xdr:colOff>
      <xdr:row>130</xdr:row>
      <xdr:rowOff>0</xdr:rowOff>
    </xdr:from>
    <xdr:to>
      <xdr:col>4</xdr:col>
      <xdr:colOff>558800</xdr:colOff>
      <xdr:row>130</xdr:row>
      <xdr:rowOff>317500</xdr:rowOff>
    </xdr:to>
    <xdr:sp macro="" textlink="">
      <xdr:nvSpPr>
        <xdr:cNvPr id="8" name="Up Arrow 7">
          <a:extLst>
            <a:ext uri="{FF2B5EF4-FFF2-40B4-BE49-F238E27FC236}">
              <a16:creationId xmlns:a16="http://schemas.microsoft.com/office/drawing/2014/main" xmlns="" id="{00000000-0008-0000-0000-000008000000}"/>
            </a:ext>
          </a:extLst>
        </xdr:cNvPr>
        <xdr:cNvSpPr/>
      </xdr:nvSpPr>
      <xdr:spPr>
        <a:xfrm>
          <a:off x="7048500" y="50165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533400</xdr:colOff>
      <xdr:row>152</xdr:row>
      <xdr:rowOff>0</xdr:rowOff>
    </xdr:from>
    <xdr:to>
      <xdr:col>5</xdr:col>
      <xdr:colOff>889000</xdr:colOff>
      <xdr:row>152</xdr:row>
      <xdr:rowOff>317500</xdr:rowOff>
    </xdr:to>
    <xdr:sp macro="" textlink="">
      <xdr:nvSpPr>
        <xdr:cNvPr id="9" name="Up Arrow 8">
          <a:extLst>
            <a:ext uri="{FF2B5EF4-FFF2-40B4-BE49-F238E27FC236}">
              <a16:creationId xmlns:a16="http://schemas.microsoft.com/office/drawing/2014/main" xmlns="" id="{00000000-0008-0000-0000-000009000000}"/>
            </a:ext>
          </a:extLst>
        </xdr:cNvPr>
        <xdr:cNvSpPr/>
      </xdr:nvSpPr>
      <xdr:spPr>
        <a:xfrm>
          <a:off x="8763000" y="58547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939800</xdr:colOff>
      <xdr:row>173</xdr:row>
      <xdr:rowOff>12700</xdr:rowOff>
    </xdr:from>
    <xdr:to>
      <xdr:col>5</xdr:col>
      <xdr:colOff>1295400</xdr:colOff>
      <xdr:row>173</xdr:row>
      <xdr:rowOff>330200</xdr:rowOff>
    </xdr:to>
    <xdr:sp macro="" textlink="">
      <xdr:nvSpPr>
        <xdr:cNvPr id="10" name="Up Arrow 9">
          <a:extLst>
            <a:ext uri="{FF2B5EF4-FFF2-40B4-BE49-F238E27FC236}">
              <a16:creationId xmlns:a16="http://schemas.microsoft.com/office/drawing/2014/main" xmlns="" id="{00000000-0008-0000-0000-00000A000000}"/>
            </a:ext>
          </a:extLst>
        </xdr:cNvPr>
        <xdr:cNvSpPr/>
      </xdr:nvSpPr>
      <xdr:spPr>
        <a:xfrm>
          <a:off x="9169400" y="665607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194</xdr:row>
      <xdr:rowOff>0</xdr:rowOff>
    </xdr:from>
    <xdr:to>
      <xdr:col>5</xdr:col>
      <xdr:colOff>355600</xdr:colOff>
      <xdr:row>194</xdr:row>
      <xdr:rowOff>317500</xdr:rowOff>
    </xdr:to>
    <xdr:sp macro="" textlink="">
      <xdr:nvSpPr>
        <xdr:cNvPr id="11" name="Up Arrow 10">
          <a:extLst>
            <a:ext uri="{FF2B5EF4-FFF2-40B4-BE49-F238E27FC236}">
              <a16:creationId xmlns:a16="http://schemas.microsoft.com/office/drawing/2014/main" xmlns="" id="{00000000-0008-0000-0000-00000B000000}"/>
            </a:ext>
          </a:extLst>
        </xdr:cNvPr>
        <xdr:cNvSpPr/>
      </xdr:nvSpPr>
      <xdr:spPr>
        <a:xfrm>
          <a:off x="8229600" y="74549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215</xdr:row>
      <xdr:rowOff>0</xdr:rowOff>
    </xdr:from>
    <xdr:to>
      <xdr:col>5</xdr:col>
      <xdr:colOff>355600</xdr:colOff>
      <xdr:row>215</xdr:row>
      <xdr:rowOff>317500</xdr:rowOff>
    </xdr:to>
    <xdr:sp macro="" textlink="">
      <xdr:nvSpPr>
        <xdr:cNvPr id="12" name="Up Arrow 11">
          <a:extLst>
            <a:ext uri="{FF2B5EF4-FFF2-40B4-BE49-F238E27FC236}">
              <a16:creationId xmlns:a16="http://schemas.microsoft.com/office/drawing/2014/main" xmlns="" id="{00000000-0008-0000-0000-00000C000000}"/>
            </a:ext>
          </a:extLst>
        </xdr:cNvPr>
        <xdr:cNvSpPr/>
      </xdr:nvSpPr>
      <xdr:spPr>
        <a:xfrm>
          <a:off x="8229600" y="82550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236</xdr:row>
      <xdr:rowOff>0</xdr:rowOff>
    </xdr:from>
    <xdr:to>
      <xdr:col>5</xdr:col>
      <xdr:colOff>355600</xdr:colOff>
      <xdr:row>236</xdr:row>
      <xdr:rowOff>317500</xdr:rowOff>
    </xdr:to>
    <xdr:sp macro="" textlink="">
      <xdr:nvSpPr>
        <xdr:cNvPr id="13" name="Up Arrow 12">
          <a:extLst>
            <a:ext uri="{FF2B5EF4-FFF2-40B4-BE49-F238E27FC236}">
              <a16:creationId xmlns:a16="http://schemas.microsoft.com/office/drawing/2014/main" xmlns="" id="{00000000-0008-0000-0000-00000D000000}"/>
            </a:ext>
          </a:extLst>
        </xdr:cNvPr>
        <xdr:cNvSpPr/>
      </xdr:nvSpPr>
      <xdr:spPr>
        <a:xfrm>
          <a:off x="8229600" y="90551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257</xdr:row>
      <xdr:rowOff>0</xdr:rowOff>
    </xdr:from>
    <xdr:to>
      <xdr:col>6</xdr:col>
      <xdr:colOff>355600</xdr:colOff>
      <xdr:row>257</xdr:row>
      <xdr:rowOff>317500</xdr:rowOff>
    </xdr:to>
    <xdr:sp macro="" textlink="">
      <xdr:nvSpPr>
        <xdr:cNvPr id="14" name="Up Arrow 13">
          <a:extLst>
            <a:ext uri="{FF2B5EF4-FFF2-40B4-BE49-F238E27FC236}">
              <a16:creationId xmlns:a16="http://schemas.microsoft.com/office/drawing/2014/main" xmlns="" id="{00000000-0008-0000-0000-00000E000000}"/>
            </a:ext>
          </a:extLst>
        </xdr:cNvPr>
        <xdr:cNvSpPr/>
      </xdr:nvSpPr>
      <xdr:spPr>
        <a:xfrm>
          <a:off x="9740900" y="98552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278</xdr:row>
      <xdr:rowOff>0</xdr:rowOff>
    </xdr:from>
    <xdr:to>
      <xdr:col>6</xdr:col>
      <xdr:colOff>355600</xdr:colOff>
      <xdr:row>278</xdr:row>
      <xdr:rowOff>317500</xdr:rowOff>
    </xdr:to>
    <xdr:sp macro="" textlink="">
      <xdr:nvSpPr>
        <xdr:cNvPr id="15" name="Up Arrow 14">
          <a:extLst>
            <a:ext uri="{FF2B5EF4-FFF2-40B4-BE49-F238E27FC236}">
              <a16:creationId xmlns:a16="http://schemas.microsoft.com/office/drawing/2014/main" xmlns="" id="{00000000-0008-0000-0000-00000F000000}"/>
            </a:ext>
          </a:extLst>
        </xdr:cNvPr>
        <xdr:cNvSpPr/>
      </xdr:nvSpPr>
      <xdr:spPr>
        <a:xfrm>
          <a:off x="9740900" y="106553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289</xdr:row>
      <xdr:rowOff>0</xdr:rowOff>
    </xdr:from>
    <xdr:to>
      <xdr:col>4</xdr:col>
      <xdr:colOff>355600</xdr:colOff>
      <xdr:row>289</xdr:row>
      <xdr:rowOff>317500</xdr:rowOff>
    </xdr:to>
    <xdr:sp macro="" textlink="">
      <xdr:nvSpPr>
        <xdr:cNvPr id="16" name="Up Arrow 15">
          <a:extLst>
            <a:ext uri="{FF2B5EF4-FFF2-40B4-BE49-F238E27FC236}">
              <a16:creationId xmlns:a16="http://schemas.microsoft.com/office/drawing/2014/main" xmlns="" id="{00000000-0008-0000-0000-000010000000}"/>
            </a:ext>
          </a:extLst>
        </xdr:cNvPr>
        <xdr:cNvSpPr/>
      </xdr:nvSpPr>
      <xdr:spPr>
        <a:xfrm>
          <a:off x="6845300" y="110744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520700</xdr:colOff>
      <xdr:row>311</xdr:row>
      <xdr:rowOff>12700</xdr:rowOff>
    </xdr:from>
    <xdr:to>
      <xdr:col>5</xdr:col>
      <xdr:colOff>876300</xdr:colOff>
      <xdr:row>311</xdr:row>
      <xdr:rowOff>330200</xdr:rowOff>
    </xdr:to>
    <xdr:sp macro="" textlink="">
      <xdr:nvSpPr>
        <xdr:cNvPr id="17" name="Up Arrow 16">
          <a:extLst>
            <a:ext uri="{FF2B5EF4-FFF2-40B4-BE49-F238E27FC236}">
              <a16:creationId xmlns:a16="http://schemas.microsoft.com/office/drawing/2014/main" xmlns="" id="{00000000-0008-0000-0000-000011000000}"/>
            </a:ext>
          </a:extLst>
        </xdr:cNvPr>
        <xdr:cNvSpPr/>
      </xdr:nvSpPr>
      <xdr:spPr>
        <a:xfrm>
          <a:off x="8750300" y="1191387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332</xdr:row>
      <xdr:rowOff>0</xdr:rowOff>
    </xdr:from>
    <xdr:to>
      <xdr:col>5</xdr:col>
      <xdr:colOff>355600</xdr:colOff>
      <xdr:row>332</xdr:row>
      <xdr:rowOff>317500</xdr:rowOff>
    </xdr:to>
    <xdr:sp macro="" textlink="">
      <xdr:nvSpPr>
        <xdr:cNvPr id="18" name="Up Arrow 17">
          <a:extLst>
            <a:ext uri="{FF2B5EF4-FFF2-40B4-BE49-F238E27FC236}">
              <a16:creationId xmlns:a16="http://schemas.microsoft.com/office/drawing/2014/main" xmlns="" id="{00000000-0008-0000-0000-000012000000}"/>
            </a:ext>
          </a:extLst>
        </xdr:cNvPr>
        <xdr:cNvSpPr/>
      </xdr:nvSpPr>
      <xdr:spPr>
        <a:xfrm>
          <a:off x="8229600" y="127127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353</xdr:row>
      <xdr:rowOff>0</xdr:rowOff>
    </xdr:from>
    <xdr:to>
      <xdr:col>5</xdr:col>
      <xdr:colOff>355600</xdr:colOff>
      <xdr:row>353</xdr:row>
      <xdr:rowOff>317500</xdr:rowOff>
    </xdr:to>
    <xdr:sp macro="" textlink="">
      <xdr:nvSpPr>
        <xdr:cNvPr id="19" name="Up Arrow 18">
          <a:extLst>
            <a:ext uri="{FF2B5EF4-FFF2-40B4-BE49-F238E27FC236}">
              <a16:creationId xmlns:a16="http://schemas.microsoft.com/office/drawing/2014/main" xmlns="" id="{00000000-0008-0000-0000-000013000000}"/>
            </a:ext>
          </a:extLst>
        </xdr:cNvPr>
        <xdr:cNvSpPr/>
      </xdr:nvSpPr>
      <xdr:spPr>
        <a:xfrm>
          <a:off x="8229600" y="135128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374</xdr:row>
      <xdr:rowOff>0</xdr:rowOff>
    </xdr:from>
    <xdr:to>
      <xdr:col>5</xdr:col>
      <xdr:colOff>355600</xdr:colOff>
      <xdr:row>374</xdr:row>
      <xdr:rowOff>317500</xdr:rowOff>
    </xdr:to>
    <xdr:sp macro="" textlink="">
      <xdr:nvSpPr>
        <xdr:cNvPr id="20" name="Up Arrow 19">
          <a:extLst>
            <a:ext uri="{FF2B5EF4-FFF2-40B4-BE49-F238E27FC236}">
              <a16:creationId xmlns:a16="http://schemas.microsoft.com/office/drawing/2014/main" xmlns="" id="{00000000-0008-0000-0000-000014000000}"/>
            </a:ext>
          </a:extLst>
        </xdr:cNvPr>
        <xdr:cNvSpPr/>
      </xdr:nvSpPr>
      <xdr:spPr>
        <a:xfrm>
          <a:off x="8229600" y="143129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388</xdr:row>
      <xdr:rowOff>0</xdr:rowOff>
    </xdr:from>
    <xdr:to>
      <xdr:col>5</xdr:col>
      <xdr:colOff>355600</xdr:colOff>
      <xdr:row>388</xdr:row>
      <xdr:rowOff>317500</xdr:rowOff>
    </xdr:to>
    <xdr:sp macro="" textlink="">
      <xdr:nvSpPr>
        <xdr:cNvPr id="21" name="Up Arrow 20">
          <a:extLst>
            <a:ext uri="{FF2B5EF4-FFF2-40B4-BE49-F238E27FC236}">
              <a16:creationId xmlns:a16="http://schemas.microsoft.com/office/drawing/2014/main" xmlns="" id="{00000000-0008-0000-0000-000015000000}"/>
            </a:ext>
          </a:extLst>
        </xdr:cNvPr>
        <xdr:cNvSpPr/>
      </xdr:nvSpPr>
      <xdr:spPr>
        <a:xfrm>
          <a:off x="8229600" y="148463000"/>
          <a:ext cx="355600" cy="317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418</xdr:row>
      <xdr:rowOff>355600</xdr:rowOff>
    </xdr:from>
    <xdr:to>
      <xdr:col>4</xdr:col>
      <xdr:colOff>927100</xdr:colOff>
      <xdr:row>420</xdr:row>
      <xdr:rowOff>12700</xdr:rowOff>
    </xdr:to>
    <xdr:sp macro="" textlink="">
      <xdr:nvSpPr>
        <xdr:cNvPr id="24" name="Up Arrow 23">
          <a:extLst>
            <a:ext uri="{FF2B5EF4-FFF2-40B4-BE49-F238E27FC236}">
              <a16:creationId xmlns:a16="http://schemas.microsoft.com/office/drawing/2014/main" xmlns="" id="{00000000-0008-0000-0000-000018000000}"/>
            </a:ext>
          </a:extLst>
        </xdr:cNvPr>
        <xdr:cNvSpPr/>
      </xdr:nvSpPr>
      <xdr:spPr>
        <a:xfrm>
          <a:off x="6997700" y="1595755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483</xdr:row>
      <xdr:rowOff>355600</xdr:rowOff>
    </xdr:from>
    <xdr:to>
      <xdr:col>4</xdr:col>
      <xdr:colOff>927100</xdr:colOff>
      <xdr:row>485</xdr:row>
      <xdr:rowOff>12700</xdr:rowOff>
    </xdr:to>
    <xdr:sp macro="" textlink="">
      <xdr:nvSpPr>
        <xdr:cNvPr id="25" name="Up Arrow 24">
          <a:extLst>
            <a:ext uri="{FF2B5EF4-FFF2-40B4-BE49-F238E27FC236}">
              <a16:creationId xmlns:a16="http://schemas.microsoft.com/office/drawing/2014/main" xmlns="" id="{00000000-0008-0000-0000-000019000000}"/>
            </a:ext>
          </a:extLst>
        </xdr:cNvPr>
        <xdr:cNvSpPr/>
      </xdr:nvSpPr>
      <xdr:spPr>
        <a:xfrm>
          <a:off x="6997700" y="1599565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502</xdr:row>
      <xdr:rowOff>355600</xdr:rowOff>
    </xdr:from>
    <xdr:to>
      <xdr:col>4</xdr:col>
      <xdr:colOff>927100</xdr:colOff>
      <xdr:row>504</xdr:row>
      <xdr:rowOff>12700</xdr:rowOff>
    </xdr:to>
    <xdr:sp macro="" textlink="">
      <xdr:nvSpPr>
        <xdr:cNvPr id="26" name="Up Arrow 25">
          <a:extLst>
            <a:ext uri="{FF2B5EF4-FFF2-40B4-BE49-F238E27FC236}">
              <a16:creationId xmlns:a16="http://schemas.microsoft.com/office/drawing/2014/main" xmlns="" id="{00000000-0008-0000-0000-00001A000000}"/>
            </a:ext>
          </a:extLst>
        </xdr:cNvPr>
        <xdr:cNvSpPr/>
      </xdr:nvSpPr>
      <xdr:spPr>
        <a:xfrm>
          <a:off x="7010400" y="188772800"/>
          <a:ext cx="774700" cy="436033"/>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509</xdr:row>
      <xdr:rowOff>355600</xdr:rowOff>
    </xdr:from>
    <xdr:to>
      <xdr:col>4</xdr:col>
      <xdr:colOff>927100</xdr:colOff>
      <xdr:row>511</xdr:row>
      <xdr:rowOff>12700</xdr:rowOff>
    </xdr:to>
    <xdr:sp macro="" textlink="">
      <xdr:nvSpPr>
        <xdr:cNvPr id="27" name="Up Arrow 26">
          <a:extLst>
            <a:ext uri="{FF2B5EF4-FFF2-40B4-BE49-F238E27FC236}">
              <a16:creationId xmlns:a16="http://schemas.microsoft.com/office/drawing/2014/main" xmlns="" id="{00000000-0008-0000-0000-00001B000000}"/>
            </a:ext>
          </a:extLst>
        </xdr:cNvPr>
        <xdr:cNvSpPr/>
      </xdr:nvSpPr>
      <xdr:spPr>
        <a:xfrm>
          <a:off x="7010400" y="196172667"/>
          <a:ext cx="774700" cy="436033"/>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522</xdr:row>
      <xdr:rowOff>355600</xdr:rowOff>
    </xdr:from>
    <xdr:to>
      <xdr:col>4</xdr:col>
      <xdr:colOff>927100</xdr:colOff>
      <xdr:row>524</xdr:row>
      <xdr:rowOff>12700</xdr:rowOff>
    </xdr:to>
    <xdr:sp macro="" textlink="">
      <xdr:nvSpPr>
        <xdr:cNvPr id="28" name="Up Arrow 27">
          <a:extLst>
            <a:ext uri="{FF2B5EF4-FFF2-40B4-BE49-F238E27FC236}">
              <a16:creationId xmlns:a16="http://schemas.microsoft.com/office/drawing/2014/main" xmlns="" id="{00000000-0008-0000-0000-00001C000000}"/>
            </a:ext>
          </a:extLst>
        </xdr:cNvPr>
        <xdr:cNvSpPr/>
      </xdr:nvSpPr>
      <xdr:spPr>
        <a:xfrm>
          <a:off x="7010400" y="198898933"/>
          <a:ext cx="774700" cy="436034"/>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550</xdr:row>
      <xdr:rowOff>355600</xdr:rowOff>
    </xdr:from>
    <xdr:to>
      <xdr:col>4</xdr:col>
      <xdr:colOff>927100</xdr:colOff>
      <xdr:row>552</xdr:row>
      <xdr:rowOff>12700</xdr:rowOff>
    </xdr:to>
    <xdr:sp macro="" textlink="">
      <xdr:nvSpPr>
        <xdr:cNvPr id="29" name="Up Arrow 28">
          <a:extLst>
            <a:ext uri="{FF2B5EF4-FFF2-40B4-BE49-F238E27FC236}">
              <a16:creationId xmlns:a16="http://schemas.microsoft.com/office/drawing/2014/main" xmlns="" id="{00000000-0008-0000-0000-00001D000000}"/>
            </a:ext>
          </a:extLst>
        </xdr:cNvPr>
        <xdr:cNvSpPr/>
      </xdr:nvSpPr>
      <xdr:spPr>
        <a:xfrm>
          <a:off x="6987988" y="195991629"/>
          <a:ext cx="774700" cy="404159"/>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556</xdr:row>
      <xdr:rowOff>355600</xdr:rowOff>
    </xdr:from>
    <xdr:to>
      <xdr:col>4</xdr:col>
      <xdr:colOff>927100</xdr:colOff>
      <xdr:row>558</xdr:row>
      <xdr:rowOff>12700</xdr:rowOff>
    </xdr:to>
    <xdr:sp macro="" textlink="">
      <xdr:nvSpPr>
        <xdr:cNvPr id="30" name="Up Arrow 29">
          <a:extLst>
            <a:ext uri="{FF2B5EF4-FFF2-40B4-BE49-F238E27FC236}">
              <a16:creationId xmlns:a16="http://schemas.microsoft.com/office/drawing/2014/main" xmlns="" id="{00000000-0008-0000-0000-00001E000000}"/>
            </a:ext>
          </a:extLst>
        </xdr:cNvPr>
        <xdr:cNvSpPr/>
      </xdr:nvSpPr>
      <xdr:spPr>
        <a:xfrm>
          <a:off x="6999357" y="215096035"/>
          <a:ext cx="774700" cy="430143"/>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586</xdr:row>
      <xdr:rowOff>355600</xdr:rowOff>
    </xdr:from>
    <xdr:to>
      <xdr:col>4</xdr:col>
      <xdr:colOff>927100</xdr:colOff>
      <xdr:row>588</xdr:row>
      <xdr:rowOff>12700</xdr:rowOff>
    </xdr:to>
    <xdr:sp macro="" textlink="">
      <xdr:nvSpPr>
        <xdr:cNvPr id="31" name="Up Arrow 30">
          <a:extLst>
            <a:ext uri="{FF2B5EF4-FFF2-40B4-BE49-F238E27FC236}">
              <a16:creationId xmlns:a16="http://schemas.microsoft.com/office/drawing/2014/main" xmlns="" id="{00000000-0008-0000-0000-00001F000000}"/>
            </a:ext>
          </a:extLst>
        </xdr:cNvPr>
        <xdr:cNvSpPr/>
      </xdr:nvSpPr>
      <xdr:spPr>
        <a:xfrm>
          <a:off x="7000875" y="201133075"/>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596</xdr:row>
      <xdr:rowOff>355600</xdr:rowOff>
    </xdr:from>
    <xdr:to>
      <xdr:col>4</xdr:col>
      <xdr:colOff>927100</xdr:colOff>
      <xdr:row>598</xdr:row>
      <xdr:rowOff>12700</xdr:rowOff>
    </xdr:to>
    <xdr:sp macro="" textlink="">
      <xdr:nvSpPr>
        <xdr:cNvPr id="32" name="Up Arrow 31">
          <a:extLst>
            <a:ext uri="{FF2B5EF4-FFF2-40B4-BE49-F238E27FC236}">
              <a16:creationId xmlns:a16="http://schemas.microsoft.com/office/drawing/2014/main" xmlns="" id="{00000000-0008-0000-0000-000020000000}"/>
            </a:ext>
          </a:extLst>
        </xdr:cNvPr>
        <xdr:cNvSpPr/>
      </xdr:nvSpPr>
      <xdr:spPr>
        <a:xfrm>
          <a:off x="7000875" y="2260981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613</xdr:row>
      <xdr:rowOff>355600</xdr:rowOff>
    </xdr:from>
    <xdr:to>
      <xdr:col>4</xdr:col>
      <xdr:colOff>927100</xdr:colOff>
      <xdr:row>615</xdr:row>
      <xdr:rowOff>12700</xdr:rowOff>
    </xdr:to>
    <xdr:sp macro="" textlink="">
      <xdr:nvSpPr>
        <xdr:cNvPr id="33" name="Up Arrow 32">
          <a:extLst>
            <a:ext uri="{FF2B5EF4-FFF2-40B4-BE49-F238E27FC236}">
              <a16:creationId xmlns:a16="http://schemas.microsoft.com/office/drawing/2014/main" xmlns="" id="{00000000-0008-0000-0000-000021000000}"/>
            </a:ext>
          </a:extLst>
        </xdr:cNvPr>
        <xdr:cNvSpPr/>
      </xdr:nvSpPr>
      <xdr:spPr>
        <a:xfrm>
          <a:off x="7000875" y="2299081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635</xdr:row>
      <xdr:rowOff>355600</xdr:rowOff>
    </xdr:from>
    <xdr:to>
      <xdr:col>4</xdr:col>
      <xdr:colOff>927100</xdr:colOff>
      <xdr:row>637</xdr:row>
      <xdr:rowOff>12700</xdr:rowOff>
    </xdr:to>
    <xdr:sp macro="" textlink="">
      <xdr:nvSpPr>
        <xdr:cNvPr id="34" name="Up Arrow 33">
          <a:extLst>
            <a:ext uri="{FF2B5EF4-FFF2-40B4-BE49-F238E27FC236}">
              <a16:creationId xmlns:a16="http://schemas.microsoft.com/office/drawing/2014/main" xmlns="" id="{00000000-0008-0000-0000-000022000000}"/>
            </a:ext>
          </a:extLst>
        </xdr:cNvPr>
        <xdr:cNvSpPr/>
      </xdr:nvSpPr>
      <xdr:spPr>
        <a:xfrm>
          <a:off x="7000875" y="2363851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628</xdr:row>
      <xdr:rowOff>355600</xdr:rowOff>
    </xdr:from>
    <xdr:to>
      <xdr:col>4</xdr:col>
      <xdr:colOff>927100</xdr:colOff>
      <xdr:row>630</xdr:row>
      <xdr:rowOff>12700</xdr:rowOff>
    </xdr:to>
    <xdr:sp macro="" textlink="">
      <xdr:nvSpPr>
        <xdr:cNvPr id="35" name="Up Arrow 34">
          <a:extLst>
            <a:ext uri="{FF2B5EF4-FFF2-40B4-BE49-F238E27FC236}">
              <a16:creationId xmlns:a16="http://schemas.microsoft.com/office/drawing/2014/main" xmlns="" id="{00000000-0008-0000-0000-000023000000}"/>
            </a:ext>
          </a:extLst>
        </xdr:cNvPr>
        <xdr:cNvSpPr/>
      </xdr:nvSpPr>
      <xdr:spPr>
        <a:xfrm>
          <a:off x="7000875" y="2447671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650</xdr:row>
      <xdr:rowOff>355600</xdr:rowOff>
    </xdr:from>
    <xdr:to>
      <xdr:col>4</xdr:col>
      <xdr:colOff>927100</xdr:colOff>
      <xdr:row>652</xdr:row>
      <xdr:rowOff>12700</xdr:rowOff>
    </xdr:to>
    <xdr:sp macro="" textlink="">
      <xdr:nvSpPr>
        <xdr:cNvPr id="36" name="Up Arrow 35">
          <a:extLst>
            <a:ext uri="{FF2B5EF4-FFF2-40B4-BE49-F238E27FC236}">
              <a16:creationId xmlns:a16="http://schemas.microsoft.com/office/drawing/2014/main" xmlns="" id="{00000000-0008-0000-0000-000024000000}"/>
            </a:ext>
          </a:extLst>
        </xdr:cNvPr>
        <xdr:cNvSpPr/>
      </xdr:nvSpPr>
      <xdr:spPr>
        <a:xfrm>
          <a:off x="7000875" y="244767100"/>
          <a:ext cx="774700" cy="4191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640522</xdr:colOff>
      <xdr:row>728</xdr:row>
      <xdr:rowOff>55217</xdr:rowOff>
    </xdr:from>
    <xdr:to>
      <xdr:col>5</xdr:col>
      <xdr:colOff>993913</xdr:colOff>
      <xdr:row>728</xdr:row>
      <xdr:rowOff>342347</xdr:rowOff>
    </xdr:to>
    <xdr:sp macro="" textlink="">
      <xdr:nvSpPr>
        <xdr:cNvPr id="22" name="Up Arrow 21">
          <a:extLst>
            <a:ext uri="{FF2B5EF4-FFF2-40B4-BE49-F238E27FC236}">
              <a16:creationId xmlns:a16="http://schemas.microsoft.com/office/drawing/2014/main" xmlns="" id="{30C98FC6-434F-C661-F23A-8189C3A086EC}"/>
            </a:ext>
          </a:extLst>
        </xdr:cNvPr>
        <xdr:cNvSpPr/>
      </xdr:nvSpPr>
      <xdr:spPr>
        <a:xfrm>
          <a:off x="8867913" y="283486087"/>
          <a:ext cx="353391" cy="28713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618435</xdr:colOff>
      <xdr:row>730</xdr:row>
      <xdr:rowOff>66261</xdr:rowOff>
    </xdr:from>
    <xdr:to>
      <xdr:col>5</xdr:col>
      <xdr:colOff>993913</xdr:colOff>
      <xdr:row>730</xdr:row>
      <xdr:rowOff>441739</xdr:rowOff>
    </xdr:to>
    <xdr:sp macro="" textlink="">
      <xdr:nvSpPr>
        <xdr:cNvPr id="23" name="Down Arrow 22">
          <a:extLst>
            <a:ext uri="{FF2B5EF4-FFF2-40B4-BE49-F238E27FC236}">
              <a16:creationId xmlns:a16="http://schemas.microsoft.com/office/drawing/2014/main" xmlns="" id="{1ED48402-742E-8B3F-1C18-18803B961AB2}"/>
            </a:ext>
          </a:extLst>
        </xdr:cNvPr>
        <xdr:cNvSpPr/>
      </xdr:nvSpPr>
      <xdr:spPr>
        <a:xfrm>
          <a:off x="8845826" y="284203913"/>
          <a:ext cx="375478" cy="37547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618435</xdr:colOff>
      <xdr:row>750</xdr:row>
      <xdr:rowOff>66261</xdr:rowOff>
    </xdr:from>
    <xdr:to>
      <xdr:col>5</xdr:col>
      <xdr:colOff>993913</xdr:colOff>
      <xdr:row>750</xdr:row>
      <xdr:rowOff>441739</xdr:rowOff>
    </xdr:to>
    <xdr:sp macro="" textlink="">
      <xdr:nvSpPr>
        <xdr:cNvPr id="38" name="Down Arrow 37">
          <a:extLst>
            <a:ext uri="{FF2B5EF4-FFF2-40B4-BE49-F238E27FC236}">
              <a16:creationId xmlns:a16="http://schemas.microsoft.com/office/drawing/2014/main" xmlns="" id="{E748D437-4931-4840-B783-7506B4E38288}"/>
            </a:ext>
          </a:extLst>
        </xdr:cNvPr>
        <xdr:cNvSpPr/>
      </xdr:nvSpPr>
      <xdr:spPr>
        <a:xfrm>
          <a:off x="8845826" y="284203913"/>
          <a:ext cx="375478" cy="37547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279400</xdr:colOff>
      <xdr:row>681</xdr:row>
      <xdr:rowOff>88900</xdr:rowOff>
    </xdr:from>
    <xdr:to>
      <xdr:col>4</xdr:col>
      <xdr:colOff>723900</xdr:colOff>
      <xdr:row>682</xdr:row>
      <xdr:rowOff>50800</xdr:rowOff>
    </xdr:to>
    <xdr:sp macro="" textlink="">
      <xdr:nvSpPr>
        <xdr:cNvPr id="2089" name="Down Arrow 2088">
          <a:extLst>
            <a:ext uri="{FF2B5EF4-FFF2-40B4-BE49-F238E27FC236}">
              <a16:creationId xmlns:a16="http://schemas.microsoft.com/office/drawing/2014/main" xmlns="" id="{A3CC654F-CA16-0B0C-87F8-470DAF8EE26E}"/>
            </a:ext>
          </a:extLst>
        </xdr:cNvPr>
        <xdr:cNvSpPr/>
      </xdr:nvSpPr>
      <xdr:spPr>
        <a:xfrm>
          <a:off x="7327900" y="262077200"/>
          <a:ext cx="444500" cy="3429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id="1" name="InventoryList" displayName="InventoryList" ref="B5:I974" totalsRowShown="0" headerRowDxfId="9" dataDxfId="8">
  <autoFilter ref="B5:I97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Inventory ID" dataDxfId="7"/>
    <tableColumn id="2" name="Name" dataDxfId="6"/>
    <tableColumn id="4" name="NLC (NET LANDING COST" dataDxfId="5"/>
    <tableColumn id="3" name="Customer price" dataDxfId="4" dataCellStyle="Table currency"/>
    <tableColumn id="5" name="Quantity in stock" dataDxfId="3"/>
    <tableColumn id="11" name="Total value" dataDxfId="2">
      <calculatedColumnFormula>InventoryList[[#This Row],[NLC (NET LANDING COST]]*InventoryList[[#This Row],[Quantity in stock]]</calculatedColumnFormula>
    </tableColumn>
    <tableColumn id="9" name="BILL VALUE" dataDxfId="1"/>
    <tableColumn id="6" name="Column1" dataDxfId="0"/>
  </tableColumns>
  <tableStyleInfo name="Inventory List" showFirstColumn="1" showLastColumn="0" showRowStripes="1" showColumnStripes="0"/>
  <extLst>
    <ext xmlns:x14="http://schemas.microsoft.com/office/spreadsheetml/2009/9/main" uri="{504A1905-F514-4f6f-8877-14C23A59335A}">
      <x14:table altTextSummary="Enter inventory details such as, Inventory ID, Name, Description, Unit Price, Quantity in Stock, Reorder Level, Reorder Time in Days, Quantity in Reorder, and Discontinued. Inventory Value is a calculated field. Items to reorder are flagged in column B and the row highlighted. Discontinued items have strikethrough formatting and the text &quot;yes&quot; in the Discontinued column"/>
    </ext>
  </extLst>
</table>
</file>

<file path=xl/theme/theme1.xml><?xml version="1.0" encoding="utf-8"?>
<a:theme xmlns:a="http://schemas.openxmlformats.org/drawingml/2006/main" name="Office Theme">
  <a:themeElements>
    <a:clrScheme name="TM02802349">
      <a:dk1>
        <a:srgbClr val="000000"/>
      </a:dk1>
      <a:lt1>
        <a:srgbClr val="FFFFFF"/>
      </a:lt1>
      <a:dk2>
        <a:srgbClr val="0E2841"/>
      </a:dk2>
      <a:lt2>
        <a:srgbClr val="E8E8E8"/>
      </a:lt2>
      <a:accent1>
        <a:srgbClr val="C8CCF3"/>
      </a:accent1>
      <a:accent2>
        <a:srgbClr val="5436A7"/>
      </a:accent2>
      <a:accent3>
        <a:srgbClr val="55581D"/>
      </a:accent3>
      <a:accent4>
        <a:srgbClr val="F3B7CF"/>
      </a:accent4>
      <a:accent5>
        <a:srgbClr val="D22404"/>
      </a:accent5>
      <a:accent6>
        <a:srgbClr val="F3F0EE"/>
      </a:accent6>
      <a:hlink>
        <a:srgbClr val="467886"/>
      </a:hlink>
      <a:folHlink>
        <a:srgbClr val="96607D"/>
      </a:folHlink>
    </a:clrScheme>
    <a:fontScheme name="Custom 41">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59999389629810485"/>
    <pageSetUpPr fitToPage="1"/>
  </sheetPr>
  <dimension ref="A1:J974"/>
  <sheetViews>
    <sheetView showGridLines="0" tabSelected="1" topLeftCell="A398" zoomScaleNormal="85" workbookViewId="0">
      <selection activeCell="D398" sqref="D398"/>
    </sheetView>
  </sheetViews>
  <sheetFormatPr defaultColWidth="8.625" defaultRowHeight="30" customHeight="1"/>
  <cols>
    <col min="1" max="1" width="9.125" customWidth="1"/>
    <col min="2" max="2" width="21" customWidth="1"/>
    <col min="3" max="3" width="36" customWidth="1"/>
    <col min="4" max="4" width="26.375" style="36" customWidth="1"/>
    <col min="5" max="5" width="18.125" style="47" customWidth="1"/>
    <col min="6" max="6" width="19.875" style="1" customWidth="1"/>
    <col min="7" max="7" width="17.875" style="1" customWidth="1"/>
    <col min="8" max="8" width="12.875" style="55" customWidth="1"/>
    <col min="9" max="9" width="12.625" customWidth="1"/>
  </cols>
  <sheetData>
    <row r="1" spans="1:9" ht="20.100000000000001" customHeight="1"/>
    <row r="2" spans="1:9" s="4" customFormat="1" ht="90" customHeight="1">
      <c r="B2" s="8" t="s">
        <v>29</v>
      </c>
      <c r="C2" s="2"/>
      <c r="D2" s="37"/>
      <c r="E2" s="48"/>
      <c r="F2" s="3"/>
      <c r="G2" s="3"/>
      <c r="H2" s="56"/>
    </row>
    <row r="3" spans="1:9" ht="30" customHeight="1">
      <c r="B3" s="19" t="s">
        <v>593</v>
      </c>
      <c r="C3" s="5"/>
      <c r="D3" s="38"/>
      <c r="E3" s="49"/>
      <c r="F3" s="6"/>
      <c r="G3" s="6"/>
      <c r="H3" s="57"/>
    </row>
    <row r="4" spans="1:9" ht="30" customHeight="1">
      <c r="B4" s="7"/>
      <c r="C4" s="7"/>
      <c r="D4" s="38"/>
      <c r="E4" s="49"/>
      <c r="F4" s="6"/>
      <c r="G4" s="6"/>
      <c r="H4" s="57"/>
    </row>
    <row r="5" spans="1:9" s="9" customFormat="1" ht="30" customHeight="1" thickBot="1">
      <c r="A5" s="20" t="s">
        <v>30</v>
      </c>
      <c r="B5" s="21" t="s">
        <v>0</v>
      </c>
      <c r="C5" s="21" t="s">
        <v>1</v>
      </c>
      <c r="D5" s="39" t="s">
        <v>589</v>
      </c>
      <c r="E5" s="50" t="s">
        <v>591</v>
      </c>
      <c r="F5" s="21" t="s">
        <v>2</v>
      </c>
      <c r="G5" s="21" t="s">
        <v>590</v>
      </c>
      <c r="H5" s="58" t="s">
        <v>592</v>
      </c>
      <c r="I5" s="73" t="s">
        <v>868</v>
      </c>
    </row>
    <row r="6" spans="1:9" ht="30" customHeight="1" thickTop="1">
      <c r="A6" s="25">
        <v>1</v>
      </c>
      <c r="B6" s="26" t="s">
        <v>3</v>
      </c>
      <c r="C6" s="26" t="s">
        <v>31</v>
      </c>
      <c r="D6" s="130">
        <v>30</v>
      </c>
      <c r="E6" s="51">
        <v>70</v>
      </c>
      <c r="F6" s="27">
        <v>10</v>
      </c>
      <c r="G6" s="41">
        <v>700</v>
      </c>
      <c r="H6" s="60"/>
      <c r="I6" s="22"/>
    </row>
    <row r="7" spans="1:9" ht="30" customHeight="1">
      <c r="A7" s="25">
        <v>2</v>
      </c>
      <c r="B7" s="26" t="s">
        <v>5</v>
      </c>
      <c r="C7" s="26" t="s">
        <v>32</v>
      </c>
      <c r="D7" s="130">
        <v>22</v>
      </c>
      <c r="E7" s="51">
        <v>70</v>
      </c>
      <c r="F7" s="27">
        <v>10</v>
      </c>
      <c r="G7" s="41">
        <f>InventoryList[[#This Row],[NLC (NET LANDING COST]]*InventoryList[[#This Row],[Quantity in stock]]</f>
        <v>220</v>
      </c>
      <c r="H7" s="60"/>
      <c r="I7" s="22"/>
    </row>
    <row r="8" spans="1:9" ht="30" customHeight="1">
      <c r="A8" s="25">
        <v>3</v>
      </c>
      <c r="B8" s="26" t="s">
        <v>6</v>
      </c>
      <c r="C8" s="26" t="s">
        <v>33</v>
      </c>
      <c r="D8" s="130">
        <v>22</v>
      </c>
      <c r="E8" s="51">
        <v>70</v>
      </c>
      <c r="F8" s="27">
        <v>10</v>
      </c>
      <c r="G8" s="41">
        <f>InventoryList[[#This Row],[NLC (NET LANDING COST]]*InventoryList[[#This Row],[Quantity in stock]]</f>
        <v>220</v>
      </c>
      <c r="H8" s="60"/>
      <c r="I8" s="22"/>
    </row>
    <row r="9" spans="1:9" ht="30" customHeight="1">
      <c r="A9" s="25">
        <v>4</v>
      </c>
      <c r="B9" s="26" t="s">
        <v>7</v>
      </c>
      <c r="C9" s="26" t="s">
        <v>34</v>
      </c>
      <c r="D9" s="130">
        <v>70</v>
      </c>
      <c r="E9" s="51">
        <v>120</v>
      </c>
      <c r="F9" s="27">
        <v>2</v>
      </c>
      <c r="G9" s="41">
        <f>InventoryList[[#This Row],[NLC (NET LANDING COST]]*InventoryList[[#This Row],[Quantity in stock]]</f>
        <v>140</v>
      </c>
      <c r="H9" s="60"/>
      <c r="I9" s="22"/>
    </row>
    <row r="10" spans="1:9" ht="30" customHeight="1">
      <c r="A10" s="25">
        <v>5</v>
      </c>
      <c r="B10" s="26" t="s">
        <v>8</v>
      </c>
      <c r="C10" s="26" t="s">
        <v>35</v>
      </c>
      <c r="D10" s="130">
        <v>70</v>
      </c>
      <c r="E10" s="51">
        <v>120</v>
      </c>
      <c r="F10" s="27">
        <v>2</v>
      </c>
      <c r="G10" s="41">
        <f>InventoryList[[#This Row],[NLC (NET LANDING COST]]*InventoryList[[#This Row],[Quantity in stock]]</f>
        <v>140</v>
      </c>
      <c r="H10" s="60"/>
      <c r="I10" s="22"/>
    </row>
    <row r="11" spans="1:9" ht="30" customHeight="1">
      <c r="A11" s="25">
        <v>6</v>
      </c>
      <c r="B11" s="26" t="s">
        <v>9</v>
      </c>
      <c r="C11" s="79" t="s">
        <v>40</v>
      </c>
      <c r="D11" s="130">
        <v>70</v>
      </c>
      <c r="E11" s="51">
        <v>120</v>
      </c>
      <c r="F11" s="27">
        <v>2</v>
      </c>
      <c r="G11" s="41">
        <f>InventoryList[[#This Row],[NLC (NET LANDING COST]]*InventoryList[[#This Row],[Quantity in stock]]</f>
        <v>140</v>
      </c>
      <c r="H11" s="60"/>
      <c r="I11" s="22"/>
    </row>
    <row r="12" spans="1:9" ht="30" customHeight="1">
      <c r="A12" s="25">
        <v>7</v>
      </c>
      <c r="B12" s="26" t="s">
        <v>10</v>
      </c>
      <c r="C12" s="26" t="s">
        <v>36</v>
      </c>
      <c r="D12" s="130">
        <v>40</v>
      </c>
      <c r="E12" s="51">
        <v>120</v>
      </c>
      <c r="F12" s="27">
        <v>2</v>
      </c>
      <c r="G12" s="41">
        <f>InventoryList[[#This Row],[NLC (NET LANDING COST]]*InventoryList[[#This Row],[Quantity in stock]]</f>
        <v>80</v>
      </c>
      <c r="H12" s="60"/>
      <c r="I12" s="22"/>
    </row>
    <row r="13" spans="1:9" ht="30" customHeight="1">
      <c r="A13" s="25">
        <v>8</v>
      </c>
      <c r="B13" s="26" t="s">
        <v>11</v>
      </c>
      <c r="C13" s="26" t="s">
        <v>37</v>
      </c>
      <c r="D13" s="130">
        <v>70</v>
      </c>
      <c r="E13" s="51">
        <v>120</v>
      </c>
      <c r="F13" s="27">
        <v>8</v>
      </c>
      <c r="G13" s="41">
        <f>InventoryList[[#This Row],[NLC (NET LANDING COST]]*InventoryList[[#This Row],[Quantity in stock]]</f>
        <v>560</v>
      </c>
      <c r="H13" s="60"/>
      <c r="I13" s="22"/>
    </row>
    <row r="14" spans="1:9" ht="30" customHeight="1">
      <c r="A14" s="25">
        <v>9</v>
      </c>
      <c r="B14" s="26" t="s">
        <v>12</v>
      </c>
      <c r="C14" s="26" t="s">
        <v>38</v>
      </c>
      <c r="D14" s="130">
        <v>20</v>
      </c>
      <c r="E14" s="51">
        <v>40</v>
      </c>
      <c r="F14" s="27">
        <v>5</v>
      </c>
      <c r="G14" s="41">
        <f>InventoryList[[#This Row],[NLC (NET LANDING COST]]*InventoryList[[#This Row],[Quantity in stock]]</f>
        <v>100</v>
      </c>
      <c r="H14" s="60"/>
      <c r="I14" s="22"/>
    </row>
    <row r="15" spans="1:9" ht="30" customHeight="1">
      <c r="A15" s="25">
        <v>10</v>
      </c>
      <c r="B15" s="26" t="s">
        <v>13</v>
      </c>
      <c r="C15" s="79" t="s">
        <v>39</v>
      </c>
      <c r="D15" s="130">
        <v>10</v>
      </c>
      <c r="E15" s="51">
        <v>30</v>
      </c>
      <c r="F15" s="27">
        <v>5</v>
      </c>
      <c r="G15" s="41">
        <f>InventoryList[[#This Row],[NLC (NET LANDING COST]]*InventoryList[[#This Row],[Quantity in stock]]</f>
        <v>50</v>
      </c>
      <c r="H15" s="60"/>
      <c r="I15" s="22"/>
    </row>
    <row r="16" spans="1:9" ht="30" customHeight="1">
      <c r="A16" s="25">
        <v>11</v>
      </c>
      <c r="B16" s="26" t="s">
        <v>14</v>
      </c>
      <c r="C16" s="79" t="s">
        <v>41</v>
      </c>
      <c r="D16" s="130">
        <v>10</v>
      </c>
      <c r="E16" s="51">
        <v>30</v>
      </c>
      <c r="F16" s="27">
        <v>5</v>
      </c>
      <c r="G16" s="41">
        <f>InventoryList[[#This Row],[NLC (NET LANDING COST]]*InventoryList[[#This Row],[Quantity in stock]]</f>
        <v>50</v>
      </c>
      <c r="H16" s="60" t="s">
        <v>4</v>
      </c>
      <c r="I16" s="22"/>
    </row>
    <row r="17" spans="1:9" ht="30" customHeight="1">
      <c r="A17" s="25">
        <v>12</v>
      </c>
      <c r="B17" s="26" t="s">
        <v>15</v>
      </c>
      <c r="C17" s="79" t="s">
        <v>42</v>
      </c>
      <c r="D17" s="130">
        <v>13</v>
      </c>
      <c r="E17" s="51">
        <v>30</v>
      </c>
      <c r="F17" s="27">
        <v>5</v>
      </c>
      <c r="G17" s="41">
        <f>InventoryList[[#This Row],[NLC (NET LANDING COST]]*InventoryList[[#This Row],[Quantity in stock]]</f>
        <v>65</v>
      </c>
      <c r="H17" s="60" t="s">
        <v>4</v>
      </c>
      <c r="I17" s="22"/>
    </row>
    <row r="18" spans="1:9" ht="30" customHeight="1">
      <c r="A18" s="25">
        <v>13</v>
      </c>
      <c r="B18" s="26" t="s">
        <v>16</v>
      </c>
      <c r="C18" s="26" t="s">
        <v>43</v>
      </c>
      <c r="D18" s="130">
        <v>8</v>
      </c>
      <c r="E18" s="51">
        <v>30</v>
      </c>
      <c r="F18" s="27">
        <v>10</v>
      </c>
      <c r="G18" s="41">
        <f>InventoryList[[#This Row],[NLC (NET LANDING COST]]*InventoryList[[#This Row],[Quantity in stock]]</f>
        <v>80</v>
      </c>
      <c r="H18" s="60" t="s">
        <v>4</v>
      </c>
      <c r="I18" s="22"/>
    </row>
    <row r="19" spans="1:9" ht="30" customHeight="1">
      <c r="A19" s="25">
        <v>14</v>
      </c>
      <c r="B19" s="26" t="s">
        <v>17</v>
      </c>
      <c r="C19" s="26" t="s">
        <v>44</v>
      </c>
      <c r="D19" s="130">
        <v>12</v>
      </c>
      <c r="E19" s="51">
        <v>35</v>
      </c>
      <c r="F19" s="27">
        <v>10</v>
      </c>
      <c r="G19" s="41">
        <f>InventoryList[[#This Row],[NLC (NET LANDING COST]]*InventoryList[[#This Row],[Quantity in stock]]</f>
        <v>120</v>
      </c>
      <c r="H19" s="60" t="s">
        <v>4</v>
      </c>
      <c r="I19" s="22"/>
    </row>
    <row r="20" spans="1:9" ht="30" customHeight="1">
      <c r="A20" s="25">
        <v>15</v>
      </c>
      <c r="B20" s="26" t="s">
        <v>18</v>
      </c>
      <c r="C20" s="26" t="s">
        <v>45</v>
      </c>
      <c r="D20" s="130">
        <v>10</v>
      </c>
      <c r="E20" s="51">
        <v>35</v>
      </c>
      <c r="F20" s="27">
        <v>10</v>
      </c>
      <c r="G20" s="41">
        <f>InventoryList[[#This Row],[NLC (NET LANDING COST]]*InventoryList[[#This Row],[Quantity in stock]]</f>
        <v>100</v>
      </c>
      <c r="H20" s="60" t="s">
        <v>4</v>
      </c>
      <c r="I20" s="22"/>
    </row>
    <row r="21" spans="1:9" ht="30" customHeight="1">
      <c r="A21" s="25">
        <v>16</v>
      </c>
      <c r="B21" s="26" t="s">
        <v>19</v>
      </c>
      <c r="C21" s="26" t="s">
        <v>46</v>
      </c>
      <c r="D21" s="130">
        <v>10</v>
      </c>
      <c r="E21" s="51">
        <v>35</v>
      </c>
      <c r="F21" s="27">
        <v>10</v>
      </c>
      <c r="G21" s="41">
        <f>InventoryList[[#This Row],[NLC (NET LANDING COST]]*InventoryList[[#This Row],[Quantity in stock]]</f>
        <v>100</v>
      </c>
      <c r="H21" s="60" t="s">
        <v>4</v>
      </c>
      <c r="I21" s="22"/>
    </row>
    <row r="22" spans="1:9" ht="30" customHeight="1">
      <c r="A22" s="25">
        <v>17</v>
      </c>
      <c r="B22" s="26" t="s">
        <v>20</v>
      </c>
      <c r="C22" s="26" t="s">
        <v>47</v>
      </c>
      <c r="D22" s="130">
        <v>10</v>
      </c>
      <c r="E22" s="51">
        <v>35</v>
      </c>
      <c r="F22" s="27">
        <v>10</v>
      </c>
      <c r="G22" s="41">
        <f>InventoryList[[#This Row],[NLC (NET LANDING COST]]*InventoryList[[#This Row],[Quantity in stock]]</f>
        <v>100</v>
      </c>
      <c r="H22" s="60"/>
      <c r="I22" s="22"/>
    </row>
    <row r="23" spans="1:9" ht="30" customHeight="1">
      <c r="A23" s="25">
        <v>18</v>
      </c>
      <c r="B23" s="26" t="s">
        <v>21</v>
      </c>
      <c r="C23" s="26" t="s">
        <v>48</v>
      </c>
      <c r="D23" s="130">
        <v>800</v>
      </c>
      <c r="E23" s="51">
        <v>1000</v>
      </c>
      <c r="F23" s="27">
        <v>4</v>
      </c>
      <c r="G23" s="41">
        <f>InventoryList[[#This Row],[NLC (NET LANDING COST]]*InventoryList[[#This Row],[Quantity in stock]]</f>
        <v>3200</v>
      </c>
      <c r="H23" s="60" t="s">
        <v>4</v>
      </c>
      <c r="I23" s="22"/>
    </row>
    <row r="24" spans="1:9" ht="30" customHeight="1">
      <c r="A24" s="25">
        <v>19</v>
      </c>
      <c r="B24" s="26" t="s">
        <v>22</v>
      </c>
      <c r="C24" s="26" t="s">
        <v>49</v>
      </c>
      <c r="D24" s="130">
        <v>7</v>
      </c>
      <c r="E24" s="51">
        <v>25</v>
      </c>
      <c r="F24" s="27">
        <v>10</v>
      </c>
      <c r="G24" s="41">
        <f>InventoryList[[#This Row],[NLC (NET LANDING COST]]*InventoryList[[#This Row],[Quantity in stock]]</f>
        <v>70</v>
      </c>
      <c r="H24" s="60"/>
      <c r="I24" s="22"/>
    </row>
    <row r="25" spans="1:9" ht="30" customHeight="1">
      <c r="A25" s="25">
        <v>20</v>
      </c>
      <c r="B25" s="26" t="s">
        <v>23</v>
      </c>
      <c r="C25" s="26" t="s">
        <v>725</v>
      </c>
      <c r="D25" s="130">
        <v>45</v>
      </c>
      <c r="E25" s="51">
        <v>100</v>
      </c>
      <c r="F25" s="27">
        <v>10</v>
      </c>
      <c r="G25" s="41">
        <f>InventoryList[[#This Row],[NLC (NET LANDING COST]]*InventoryList[[#This Row],[Quantity in stock]]</f>
        <v>450</v>
      </c>
      <c r="H25" s="60" t="s">
        <v>4</v>
      </c>
      <c r="I25" s="22"/>
    </row>
    <row r="26" spans="1:9" s="10" customFormat="1" ht="30" customHeight="1">
      <c r="A26" s="28" t="s">
        <v>51</v>
      </c>
      <c r="B26" s="29">
        <v>3206</v>
      </c>
      <c r="C26" s="29" t="s">
        <v>52</v>
      </c>
      <c r="D26" s="130" t="s">
        <v>50</v>
      </c>
      <c r="E26" s="43"/>
      <c r="F26" s="30" t="s">
        <v>604</v>
      </c>
      <c r="G26" s="42" t="s">
        <v>115</v>
      </c>
      <c r="H26" s="61">
        <v>6285</v>
      </c>
    </row>
    <row r="27" spans="1:9" ht="30" customHeight="1">
      <c r="A27" s="25">
        <v>21</v>
      </c>
      <c r="B27" s="26" t="s">
        <v>24</v>
      </c>
      <c r="C27" s="26" t="s">
        <v>53</v>
      </c>
      <c r="D27" s="130">
        <v>5</v>
      </c>
      <c r="E27" s="51">
        <v>20</v>
      </c>
      <c r="F27" s="27">
        <v>10</v>
      </c>
      <c r="G27" s="41">
        <f>InventoryList[[#This Row],[NLC (NET LANDING COST]]*InventoryList[[#This Row],[Quantity in stock]]</f>
        <v>50</v>
      </c>
      <c r="H27" s="60" t="s">
        <v>4</v>
      </c>
      <c r="I27" s="22"/>
    </row>
    <row r="28" spans="1:9" ht="30" customHeight="1">
      <c r="A28" s="25">
        <v>22</v>
      </c>
      <c r="B28" s="26" t="s">
        <v>25</v>
      </c>
      <c r="C28" s="26" t="s">
        <v>55</v>
      </c>
      <c r="D28" s="130">
        <v>40</v>
      </c>
      <c r="E28" s="51">
        <v>100</v>
      </c>
      <c r="F28" s="27">
        <v>3</v>
      </c>
      <c r="G28" s="41">
        <f>InventoryList[[#This Row],[NLC (NET LANDING COST]]*InventoryList[[#This Row],[Quantity in stock]]</f>
        <v>120</v>
      </c>
      <c r="H28" s="60" t="s">
        <v>4</v>
      </c>
      <c r="I28" s="22"/>
    </row>
    <row r="29" spans="1:9" ht="30" customHeight="1">
      <c r="A29" s="25">
        <v>23</v>
      </c>
      <c r="B29" s="26" t="s">
        <v>26</v>
      </c>
      <c r="C29" s="26" t="s">
        <v>54</v>
      </c>
      <c r="D29" s="130">
        <v>20</v>
      </c>
      <c r="E29" s="51">
        <v>50</v>
      </c>
      <c r="F29" s="27">
        <v>5</v>
      </c>
      <c r="G29" s="41">
        <f>InventoryList[[#This Row],[NLC (NET LANDING COST]]*InventoryList[[#This Row],[Quantity in stock]]</f>
        <v>100</v>
      </c>
      <c r="H29" s="60"/>
      <c r="I29" s="22"/>
    </row>
    <row r="30" spans="1:9" ht="30" customHeight="1">
      <c r="A30" s="25">
        <v>24</v>
      </c>
      <c r="B30" s="26" t="s">
        <v>27</v>
      </c>
      <c r="C30" s="26" t="s">
        <v>56</v>
      </c>
      <c r="D30" s="130">
        <v>70</v>
      </c>
      <c r="E30" s="51">
        <v>150</v>
      </c>
      <c r="F30" s="27">
        <v>2</v>
      </c>
      <c r="G30" s="41">
        <f>InventoryList[[#This Row],[NLC (NET LANDING COST]]*InventoryList[[#This Row],[Quantity in stock]]</f>
        <v>140</v>
      </c>
      <c r="H30" s="60" t="s">
        <v>4</v>
      </c>
      <c r="I30" s="22"/>
    </row>
    <row r="31" spans="1:9" ht="30" customHeight="1">
      <c r="A31" s="25">
        <v>25</v>
      </c>
      <c r="B31" s="26" t="s">
        <v>28</v>
      </c>
      <c r="C31" s="79" t="s">
        <v>57</v>
      </c>
      <c r="D31" s="130">
        <v>70</v>
      </c>
      <c r="E31" s="51">
        <v>150</v>
      </c>
      <c r="F31" s="27">
        <v>2</v>
      </c>
      <c r="G31" s="41">
        <f>InventoryList[[#This Row],[NLC (NET LANDING COST]]*InventoryList[[#This Row],[Quantity in stock]]</f>
        <v>140</v>
      </c>
      <c r="H31" s="60" t="s">
        <v>4</v>
      </c>
      <c r="I31" s="22"/>
    </row>
    <row r="32" spans="1:9" ht="30" customHeight="1">
      <c r="A32" s="25">
        <v>26</v>
      </c>
      <c r="B32" s="26" t="s">
        <v>58</v>
      </c>
      <c r="C32" s="26" t="s">
        <v>105</v>
      </c>
      <c r="D32" s="130">
        <v>70</v>
      </c>
      <c r="E32" s="51">
        <v>150</v>
      </c>
      <c r="F32" s="27">
        <v>3</v>
      </c>
      <c r="G32" s="41">
        <f>InventoryList[[#This Row],[NLC (NET LANDING COST]]*InventoryList[[#This Row],[Quantity in stock]]</f>
        <v>210</v>
      </c>
      <c r="H32" s="60"/>
      <c r="I32" s="22"/>
    </row>
    <row r="33" spans="1:10" ht="30" customHeight="1">
      <c r="A33" s="25">
        <v>27</v>
      </c>
      <c r="B33" s="26" t="s">
        <v>59</v>
      </c>
      <c r="C33" s="26" t="s">
        <v>106</v>
      </c>
      <c r="D33" s="130">
        <v>70</v>
      </c>
      <c r="E33" s="51">
        <v>150</v>
      </c>
      <c r="F33" s="27">
        <v>2</v>
      </c>
      <c r="G33" s="41">
        <f>InventoryList[[#This Row],[NLC (NET LANDING COST]]*InventoryList[[#This Row],[Quantity in stock]]</f>
        <v>140</v>
      </c>
      <c r="H33" s="62"/>
      <c r="I33" s="22"/>
    </row>
    <row r="34" spans="1:10" ht="30" customHeight="1">
      <c r="A34" s="25">
        <v>28</v>
      </c>
      <c r="B34" s="26" t="s">
        <v>60</v>
      </c>
      <c r="C34" s="26" t="s">
        <v>107</v>
      </c>
      <c r="D34" s="130">
        <v>70</v>
      </c>
      <c r="E34" s="51">
        <v>150</v>
      </c>
      <c r="F34" s="27">
        <v>2</v>
      </c>
      <c r="G34" s="41">
        <f>InventoryList[[#This Row],[NLC (NET LANDING COST]]*InventoryList[[#This Row],[Quantity in stock]]</f>
        <v>140</v>
      </c>
      <c r="H34" s="62"/>
      <c r="I34" s="22"/>
    </row>
    <row r="35" spans="1:10" ht="30" customHeight="1">
      <c r="A35" s="25">
        <v>29</v>
      </c>
      <c r="B35" s="26" t="s">
        <v>61</v>
      </c>
      <c r="C35" s="26" t="s">
        <v>818</v>
      </c>
      <c r="D35" s="130">
        <v>35</v>
      </c>
      <c r="E35" s="51">
        <v>70</v>
      </c>
      <c r="F35" s="27">
        <v>10</v>
      </c>
      <c r="G35" s="41">
        <f>InventoryList[[#This Row],[NLC (NET LANDING COST]]*InventoryList[[#This Row],[Quantity in stock]]</f>
        <v>350</v>
      </c>
      <c r="H35" s="62"/>
      <c r="I35" s="22"/>
    </row>
    <row r="36" spans="1:10" ht="30" customHeight="1">
      <c r="A36" s="25">
        <v>30</v>
      </c>
      <c r="B36" s="26" t="s">
        <v>62</v>
      </c>
      <c r="C36" s="26" t="s">
        <v>710</v>
      </c>
      <c r="D36" s="130">
        <v>40</v>
      </c>
      <c r="E36" s="51">
        <v>80</v>
      </c>
      <c r="F36" s="27">
        <v>5</v>
      </c>
      <c r="G36" s="41">
        <f>InventoryList[[#This Row],[NLC (NET LANDING COST]]*InventoryList[[#This Row],[Quantity in stock]]</f>
        <v>200</v>
      </c>
      <c r="H36" s="62"/>
      <c r="I36" s="22"/>
    </row>
    <row r="37" spans="1:10" ht="30" customHeight="1">
      <c r="A37" s="25">
        <v>31</v>
      </c>
      <c r="B37" s="26" t="s">
        <v>63</v>
      </c>
      <c r="C37" s="26" t="s">
        <v>108</v>
      </c>
      <c r="D37" s="130">
        <v>40</v>
      </c>
      <c r="E37" s="51">
        <v>80</v>
      </c>
      <c r="F37" s="27">
        <v>200</v>
      </c>
      <c r="G37" s="41">
        <f>InventoryList[[#This Row],[NLC (NET LANDING COST]]*InventoryList[[#This Row],[Quantity in stock]]</f>
        <v>8000</v>
      </c>
      <c r="H37" s="62"/>
      <c r="I37" s="22"/>
    </row>
    <row r="38" spans="1:10" ht="30" customHeight="1">
      <c r="A38" s="25">
        <v>32</v>
      </c>
      <c r="B38" s="26" t="s">
        <v>64</v>
      </c>
      <c r="C38" s="26" t="s">
        <v>109</v>
      </c>
      <c r="D38" s="130">
        <v>40</v>
      </c>
      <c r="E38" s="51">
        <v>80</v>
      </c>
      <c r="F38" s="27">
        <v>25</v>
      </c>
      <c r="G38" s="41">
        <f>InventoryList[[#This Row],[NLC (NET LANDING COST]]*InventoryList[[#This Row],[Quantity in stock]]</f>
        <v>1000</v>
      </c>
      <c r="H38" s="62"/>
      <c r="I38" s="22"/>
    </row>
    <row r="39" spans="1:10" ht="30" customHeight="1">
      <c r="A39" s="25">
        <v>33</v>
      </c>
      <c r="B39" s="26" t="s">
        <v>65</v>
      </c>
      <c r="C39" s="79" t="s">
        <v>110</v>
      </c>
      <c r="D39" s="130">
        <v>70</v>
      </c>
      <c r="E39" s="51">
        <v>150</v>
      </c>
      <c r="F39" s="27">
        <v>3</v>
      </c>
      <c r="G39" s="41">
        <f>InventoryList[[#This Row],[NLC (NET LANDING COST]]*InventoryList[[#This Row],[Quantity in stock]]</f>
        <v>210</v>
      </c>
      <c r="H39" s="62"/>
      <c r="I39" s="22"/>
    </row>
    <row r="40" spans="1:10" ht="30" customHeight="1">
      <c r="A40" s="25">
        <v>34</v>
      </c>
      <c r="B40" s="26" t="s">
        <v>66</v>
      </c>
      <c r="C40" s="26" t="s">
        <v>607</v>
      </c>
      <c r="D40" s="130">
        <v>70</v>
      </c>
      <c r="E40" s="51">
        <v>110</v>
      </c>
      <c r="F40" s="27">
        <v>10</v>
      </c>
      <c r="G40" s="41">
        <f>InventoryList[[#This Row],[NLC (NET LANDING COST]]*InventoryList[[#This Row],[Quantity in stock]]</f>
        <v>700</v>
      </c>
      <c r="H40" s="62"/>
      <c r="I40" s="22"/>
    </row>
    <row r="41" spans="1:10" ht="30" customHeight="1">
      <c r="A41" s="25">
        <v>35</v>
      </c>
      <c r="B41" s="26" t="s">
        <v>67</v>
      </c>
      <c r="C41" s="26" t="s">
        <v>111</v>
      </c>
      <c r="D41" s="130">
        <v>70</v>
      </c>
      <c r="E41" s="51">
        <v>110</v>
      </c>
      <c r="F41" s="27">
        <v>10</v>
      </c>
      <c r="G41" s="41">
        <f>InventoryList[[#This Row],[NLC (NET LANDING COST]]*InventoryList[[#This Row],[Quantity in stock]]</f>
        <v>700</v>
      </c>
      <c r="H41" s="62"/>
      <c r="I41" s="22"/>
    </row>
    <row r="42" spans="1:10" ht="30" customHeight="1">
      <c r="A42" s="25">
        <v>36</v>
      </c>
      <c r="B42" s="26" t="s">
        <v>68</v>
      </c>
      <c r="C42" s="26" t="s">
        <v>609</v>
      </c>
      <c r="D42" s="130">
        <v>105</v>
      </c>
      <c r="E42" s="51">
        <v>160</v>
      </c>
      <c r="F42" s="27">
        <v>10</v>
      </c>
      <c r="G42" s="41">
        <f>InventoryList[[#This Row],[NLC (NET LANDING COST]]*InventoryList[[#This Row],[Quantity in stock]]</f>
        <v>1050</v>
      </c>
      <c r="H42" s="62"/>
      <c r="I42" s="22"/>
    </row>
    <row r="43" spans="1:10" ht="30" customHeight="1">
      <c r="A43" s="25">
        <v>37</v>
      </c>
      <c r="B43" s="26" t="s">
        <v>69</v>
      </c>
      <c r="C43" s="26" t="s">
        <v>608</v>
      </c>
      <c r="D43" s="130">
        <v>70</v>
      </c>
      <c r="E43" s="51">
        <v>110</v>
      </c>
      <c r="F43" s="27">
        <v>8</v>
      </c>
      <c r="G43" s="41">
        <f>InventoryList[[#This Row],[NLC (NET LANDING COST]]*InventoryList[[#This Row],[Quantity in stock]]</f>
        <v>560</v>
      </c>
      <c r="H43" s="62"/>
      <c r="I43" s="22"/>
    </row>
    <row r="44" spans="1:10" ht="30" customHeight="1">
      <c r="A44" s="25">
        <v>38</v>
      </c>
      <c r="B44" s="26" t="s">
        <v>70</v>
      </c>
      <c r="C44" s="26" t="s">
        <v>717</v>
      </c>
      <c r="D44" s="130">
        <v>20</v>
      </c>
      <c r="E44" s="51">
        <v>70</v>
      </c>
      <c r="F44" s="27">
        <v>150</v>
      </c>
      <c r="G44" s="41">
        <f>InventoryList[[#This Row],[NLC (NET LANDING COST]]*InventoryList[[#This Row],[Quantity in stock]]</f>
        <v>3000</v>
      </c>
      <c r="H44" s="62"/>
      <c r="I44" s="22"/>
    </row>
    <row r="45" spans="1:10" ht="30" customHeight="1">
      <c r="A45" s="25">
        <v>39</v>
      </c>
      <c r="B45" s="26" t="s">
        <v>71</v>
      </c>
      <c r="C45" s="26" t="s">
        <v>112</v>
      </c>
      <c r="D45" s="130">
        <v>22</v>
      </c>
      <c r="E45" s="51">
        <v>70</v>
      </c>
      <c r="F45" s="27">
        <v>10</v>
      </c>
      <c r="G45" s="41">
        <f>InventoryList[[#This Row],[NLC (NET LANDING COST]]*InventoryList[[#This Row],[Quantity in stock]]</f>
        <v>220</v>
      </c>
      <c r="H45" s="62"/>
      <c r="I45" s="22"/>
    </row>
    <row r="46" spans="1:10" ht="30" customHeight="1">
      <c r="A46" s="25">
        <v>40</v>
      </c>
      <c r="B46" s="26" t="s">
        <v>72</v>
      </c>
      <c r="C46" s="26" t="s">
        <v>113</v>
      </c>
      <c r="D46" s="130">
        <v>30</v>
      </c>
      <c r="E46" s="51">
        <v>70</v>
      </c>
      <c r="F46" s="27">
        <v>5</v>
      </c>
      <c r="G46" s="41">
        <f>InventoryList[[#This Row],[NLC (NET LANDING COST]]*InventoryList[[#This Row],[Quantity in stock]]</f>
        <v>150</v>
      </c>
      <c r="H46" s="62"/>
      <c r="I46" s="22"/>
    </row>
    <row r="47" spans="1:10" s="10" customFormat="1" ht="30" customHeight="1">
      <c r="A47" s="28" t="s">
        <v>51</v>
      </c>
      <c r="B47" s="29">
        <v>3205</v>
      </c>
      <c r="C47" s="29" t="s">
        <v>52</v>
      </c>
      <c r="D47" s="130" t="s">
        <v>50</v>
      </c>
      <c r="E47" s="43"/>
      <c r="F47" s="30" t="s">
        <v>114</v>
      </c>
      <c r="G47" s="43" t="s">
        <v>115</v>
      </c>
      <c r="H47" s="63">
        <v>17180</v>
      </c>
      <c r="I47" s="11"/>
      <c r="J47" s="11"/>
    </row>
    <row r="48" spans="1:10" ht="30" customHeight="1">
      <c r="A48" s="25">
        <v>41</v>
      </c>
      <c r="B48" s="26" t="s">
        <v>73</v>
      </c>
      <c r="C48" s="79" t="s">
        <v>1238</v>
      </c>
      <c r="D48" s="130">
        <v>210</v>
      </c>
      <c r="E48" s="51">
        <v>350</v>
      </c>
      <c r="F48" s="27">
        <v>2</v>
      </c>
      <c r="G48" s="41">
        <f>InventoryList[[#This Row],[NLC (NET LANDING COST]]*InventoryList[[#This Row],[Quantity in stock]]</f>
        <v>420</v>
      </c>
      <c r="H48" s="62"/>
      <c r="I48" s="22"/>
    </row>
    <row r="49" spans="1:9" ht="30" customHeight="1">
      <c r="A49" s="25">
        <v>42</v>
      </c>
      <c r="B49" s="26" t="s">
        <v>74</v>
      </c>
      <c r="C49" s="26" t="s">
        <v>610</v>
      </c>
      <c r="D49" s="130">
        <v>170</v>
      </c>
      <c r="E49" s="51">
        <v>350</v>
      </c>
      <c r="F49" s="27">
        <v>3</v>
      </c>
      <c r="G49" s="41">
        <f>InventoryList[[#This Row],[NLC (NET LANDING COST]]*InventoryList[[#This Row],[Quantity in stock]]</f>
        <v>510</v>
      </c>
      <c r="H49" s="62"/>
      <c r="I49" s="22"/>
    </row>
    <row r="50" spans="1:9" ht="30" customHeight="1">
      <c r="A50" s="25">
        <v>43</v>
      </c>
      <c r="B50" s="26" t="s">
        <v>75</v>
      </c>
      <c r="C50" s="26" t="s">
        <v>834</v>
      </c>
      <c r="D50" s="130">
        <v>160</v>
      </c>
      <c r="E50" s="51">
        <v>350</v>
      </c>
      <c r="F50" s="27">
        <v>2</v>
      </c>
      <c r="G50" s="41">
        <f>InventoryList[[#This Row],[NLC (NET LANDING COST]]*InventoryList[[#This Row],[Quantity in stock]]</f>
        <v>320</v>
      </c>
      <c r="H50" s="62"/>
      <c r="I50" s="22"/>
    </row>
    <row r="51" spans="1:9" ht="30" customHeight="1">
      <c r="A51" s="25">
        <v>44</v>
      </c>
      <c r="B51" s="26" t="s">
        <v>76</v>
      </c>
      <c r="C51" s="26" t="s">
        <v>116</v>
      </c>
      <c r="D51" s="130">
        <v>210</v>
      </c>
      <c r="E51" s="51">
        <v>400</v>
      </c>
      <c r="F51" s="27">
        <v>2</v>
      </c>
      <c r="G51" s="41">
        <f>InventoryList[[#This Row],[NLC (NET LANDING COST]]*InventoryList[[#This Row],[Quantity in stock]]</f>
        <v>420</v>
      </c>
      <c r="H51" s="62"/>
      <c r="I51" s="22"/>
    </row>
    <row r="52" spans="1:9" ht="30" customHeight="1">
      <c r="A52" s="25">
        <v>45</v>
      </c>
      <c r="B52" s="26" t="s">
        <v>77</v>
      </c>
      <c r="C52" s="26" t="s">
        <v>611</v>
      </c>
      <c r="D52" s="130">
        <v>160</v>
      </c>
      <c r="E52" s="51">
        <v>350</v>
      </c>
      <c r="F52" s="27">
        <v>3</v>
      </c>
      <c r="G52" s="41">
        <f>InventoryList[[#This Row],[NLC (NET LANDING COST]]*InventoryList[[#This Row],[Quantity in stock]]</f>
        <v>480</v>
      </c>
      <c r="H52" s="62"/>
      <c r="I52" s="22"/>
    </row>
    <row r="53" spans="1:9" ht="30" customHeight="1">
      <c r="A53" s="25">
        <v>46</v>
      </c>
      <c r="B53" s="26" t="s">
        <v>78</v>
      </c>
      <c r="C53" s="26" t="s">
        <v>612</v>
      </c>
      <c r="D53" s="130">
        <v>260</v>
      </c>
      <c r="E53" s="51">
        <v>400</v>
      </c>
      <c r="F53" s="27">
        <v>3</v>
      </c>
      <c r="G53" s="41">
        <f>InventoryList[[#This Row],[NLC (NET LANDING COST]]*InventoryList[[#This Row],[Quantity in stock]]</f>
        <v>780</v>
      </c>
      <c r="H53" s="62"/>
      <c r="I53" s="22"/>
    </row>
    <row r="54" spans="1:9" ht="30" customHeight="1">
      <c r="A54" s="25">
        <v>47</v>
      </c>
      <c r="B54" s="26" t="s">
        <v>79</v>
      </c>
      <c r="C54" s="26" t="s">
        <v>613</v>
      </c>
      <c r="D54" s="130">
        <v>280</v>
      </c>
      <c r="E54" s="51">
        <v>400</v>
      </c>
      <c r="F54" s="27">
        <v>5</v>
      </c>
      <c r="G54" s="41">
        <f>InventoryList[[#This Row],[NLC (NET LANDING COST]]*InventoryList[[#This Row],[Quantity in stock]]</f>
        <v>1400</v>
      </c>
      <c r="H54" s="62"/>
      <c r="I54" s="22"/>
    </row>
    <row r="55" spans="1:9" ht="30" customHeight="1">
      <c r="A55" s="25">
        <v>48</v>
      </c>
      <c r="B55" s="26" t="s">
        <v>80</v>
      </c>
      <c r="C55" s="26" t="s">
        <v>614</v>
      </c>
      <c r="D55" s="130">
        <v>220</v>
      </c>
      <c r="E55" s="51">
        <v>400</v>
      </c>
      <c r="F55" s="27">
        <v>5</v>
      </c>
      <c r="G55" s="41">
        <f>InventoryList[[#This Row],[NLC (NET LANDING COST]]*InventoryList[[#This Row],[Quantity in stock]]</f>
        <v>1100</v>
      </c>
      <c r="H55" s="62"/>
      <c r="I55" s="22"/>
    </row>
    <row r="56" spans="1:9" ht="30" customHeight="1">
      <c r="A56" s="25">
        <v>49</v>
      </c>
      <c r="B56" s="26" t="s">
        <v>81</v>
      </c>
      <c r="C56" s="26" t="s">
        <v>615</v>
      </c>
      <c r="D56" s="130">
        <v>280</v>
      </c>
      <c r="E56" s="51">
        <v>400</v>
      </c>
      <c r="F56" s="27">
        <v>5</v>
      </c>
      <c r="G56" s="41">
        <f>InventoryList[[#This Row],[NLC (NET LANDING COST]]*InventoryList[[#This Row],[Quantity in stock]]</f>
        <v>1400</v>
      </c>
      <c r="H56" s="62"/>
      <c r="I56" s="22"/>
    </row>
    <row r="57" spans="1:9" ht="30" customHeight="1">
      <c r="A57" s="25">
        <v>50</v>
      </c>
      <c r="B57" s="26" t="s">
        <v>82</v>
      </c>
      <c r="C57" s="26" t="s">
        <v>616</v>
      </c>
      <c r="D57" s="130">
        <v>210</v>
      </c>
      <c r="E57" s="51">
        <v>400</v>
      </c>
      <c r="F57" s="27">
        <v>5</v>
      </c>
      <c r="G57" s="41">
        <f>InventoryList[[#This Row],[NLC (NET LANDING COST]]*InventoryList[[#This Row],[Quantity in stock]]</f>
        <v>1050</v>
      </c>
      <c r="H57" s="62"/>
      <c r="I57" s="22"/>
    </row>
    <row r="58" spans="1:9" ht="30" customHeight="1">
      <c r="A58" s="25">
        <v>51</v>
      </c>
      <c r="B58" s="26" t="s">
        <v>83</v>
      </c>
      <c r="C58" s="26" t="s">
        <v>617</v>
      </c>
      <c r="D58" s="130">
        <v>170</v>
      </c>
      <c r="E58" s="51">
        <v>350</v>
      </c>
      <c r="F58" s="27">
        <v>5</v>
      </c>
      <c r="G58" s="41">
        <f>InventoryList[[#This Row],[NLC (NET LANDING COST]]*InventoryList[[#This Row],[Quantity in stock]]</f>
        <v>850</v>
      </c>
      <c r="H58" s="62"/>
      <c r="I58" s="22"/>
    </row>
    <row r="59" spans="1:9" ht="30" customHeight="1">
      <c r="A59" s="25">
        <v>52</v>
      </c>
      <c r="B59" s="26" t="s">
        <v>84</v>
      </c>
      <c r="C59" s="26" t="s">
        <v>835</v>
      </c>
      <c r="D59" s="130">
        <v>170</v>
      </c>
      <c r="E59" s="51">
        <v>350</v>
      </c>
      <c r="F59" s="27">
        <v>3</v>
      </c>
      <c r="G59" s="41">
        <f>InventoryList[[#This Row],[NLC (NET LANDING COST]]*InventoryList[[#This Row],[Quantity in stock]]</f>
        <v>510</v>
      </c>
      <c r="H59" s="62"/>
      <c r="I59" s="22"/>
    </row>
    <row r="60" spans="1:9" ht="30" customHeight="1">
      <c r="A60" s="25">
        <v>53</v>
      </c>
      <c r="B60" s="26" t="s">
        <v>85</v>
      </c>
      <c r="C60" s="26" t="s">
        <v>836</v>
      </c>
      <c r="D60" s="130">
        <v>210</v>
      </c>
      <c r="E60" s="51">
        <v>350</v>
      </c>
      <c r="F60" s="27">
        <v>3</v>
      </c>
      <c r="G60" s="41">
        <f>InventoryList[[#This Row],[NLC (NET LANDING COST]]*InventoryList[[#This Row],[Quantity in stock]]</f>
        <v>630</v>
      </c>
      <c r="H60" s="62"/>
      <c r="I60" s="22"/>
    </row>
    <row r="61" spans="1:9" ht="30" customHeight="1">
      <c r="A61" s="25">
        <v>54</v>
      </c>
      <c r="B61" s="26" t="s">
        <v>86</v>
      </c>
      <c r="C61" s="26" t="s">
        <v>117</v>
      </c>
      <c r="D61" s="130">
        <v>90</v>
      </c>
      <c r="E61" s="51">
        <v>170</v>
      </c>
      <c r="F61" s="27">
        <v>5</v>
      </c>
      <c r="G61" s="41">
        <f>InventoryList[[#This Row],[NLC (NET LANDING COST]]*InventoryList[[#This Row],[Quantity in stock]]</f>
        <v>450</v>
      </c>
      <c r="H61" s="62"/>
      <c r="I61" s="22"/>
    </row>
    <row r="62" spans="1:9" ht="30" customHeight="1">
      <c r="A62" s="25">
        <v>55</v>
      </c>
      <c r="B62" s="26" t="s">
        <v>87</v>
      </c>
      <c r="C62" s="26" t="s">
        <v>118</v>
      </c>
      <c r="D62" s="130">
        <v>70</v>
      </c>
      <c r="E62" s="51">
        <v>150</v>
      </c>
      <c r="F62" s="27">
        <v>5</v>
      </c>
      <c r="G62" s="41">
        <f>InventoryList[[#This Row],[NLC (NET LANDING COST]]*InventoryList[[#This Row],[Quantity in stock]]</f>
        <v>350</v>
      </c>
      <c r="H62" s="62"/>
      <c r="I62" s="22"/>
    </row>
    <row r="63" spans="1:9" ht="30" customHeight="1">
      <c r="A63" s="25">
        <v>56</v>
      </c>
      <c r="B63" s="26" t="s">
        <v>88</v>
      </c>
      <c r="C63" s="26" t="s">
        <v>833</v>
      </c>
      <c r="D63" s="130">
        <v>70</v>
      </c>
      <c r="E63" s="51">
        <v>150</v>
      </c>
      <c r="F63" s="27">
        <v>5</v>
      </c>
      <c r="G63" s="41">
        <f>InventoryList[[#This Row],[NLC (NET LANDING COST]]*InventoryList[[#This Row],[Quantity in stock]]</f>
        <v>350</v>
      </c>
      <c r="H63" s="62"/>
      <c r="I63" s="22"/>
    </row>
    <row r="64" spans="1:9" ht="30" customHeight="1">
      <c r="A64" s="25">
        <v>57</v>
      </c>
      <c r="B64" s="26" t="s">
        <v>89</v>
      </c>
      <c r="C64" s="26" t="s">
        <v>119</v>
      </c>
      <c r="D64" s="130">
        <v>70</v>
      </c>
      <c r="E64" s="51">
        <v>150</v>
      </c>
      <c r="F64" s="27">
        <v>5</v>
      </c>
      <c r="G64" s="41">
        <f>InventoryList[[#This Row],[NLC (NET LANDING COST]]*InventoryList[[#This Row],[Quantity in stock]]</f>
        <v>350</v>
      </c>
      <c r="H64" s="62"/>
      <c r="I64" s="22"/>
    </row>
    <row r="65" spans="1:9" ht="30" customHeight="1">
      <c r="A65" s="25">
        <v>58</v>
      </c>
      <c r="B65" s="26" t="s">
        <v>90</v>
      </c>
      <c r="C65" s="79" t="s">
        <v>1237</v>
      </c>
      <c r="D65" s="130">
        <v>70</v>
      </c>
      <c r="E65" s="51">
        <v>150</v>
      </c>
      <c r="F65" s="27">
        <v>5</v>
      </c>
      <c r="G65" s="41">
        <f>InventoryList[[#This Row],[NLC (NET LANDING COST]]*InventoryList[[#This Row],[Quantity in stock]]</f>
        <v>350</v>
      </c>
      <c r="H65" s="62"/>
      <c r="I65" s="22"/>
    </row>
    <row r="66" spans="1:9" ht="30" customHeight="1">
      <c r="A66" s="25">
        <v>59</v>
      </c>
      <c r="B66" s="26" t="s">
        <v>91</v>
      </c>
      <c r="C66" s="26" t="s">
        <v>838</v>
      </c>
      <c r="D66" s="130">
        <v>160</v>
      </c>
      <c r="E66" s="51">
        <v>350</v>
      </c>
      <c r="F66" s="27">
        <v>3</v>
      </c>
      <c r="G66" s="41">
        <f>InventoryList[[#This Row],[NLC (NET LANDING COST]]*InventoryList[[#This Row],[Quantity in stock]]</f>
        <v>480</v>
      </c>
      <c r="H66" s="62"/>
      <c r="I66" s="22"/>
    </row>
    <row r="67" spans="1:9" ht="30" customHeight="1">
      <c r="A67" s="25">
        <v>60</v>
      </c>
      <c r="B67" s="26" t="s">
        <v>92</v>
      </c>
      <c r="C67" s="26" t="s">
        <v>119</v>
      </c>
      <c r="D67" s="130">
        <v>70</v>
      </c>
      <c r="E67" s="51">
        <v>150</v>
      </c>
      <c r="F67" s="27">
        <v>3</v>
      </c>
      <c r="G67" s="41">
        <f>InventoryList[[#This Row],[NLC (NET LANDING COST]]*InventoryList[[#This Row],[Quantity in stock]]</f>
        <v>210</v>
      </c>
      <c r="H67" s="62"/>
      <c r="I67" s="22"/>
    </row>
    <row r="68" spans="1:9" s="10" customFormat="1" ht="30" customHeight="1">
      <c r="A68" s="28" t="s">
        <v>51</v>
      </c>
      <c r="B68" s="29">
        <v>3204</v>
      </c>
      <c r="C68" s="29"/>
      <c r="D68" s="130" t="s">
        <v>120</v>
      </c>
      <c r="E68" s="43"/>
      <c r="F68" s="30"/>
      <c r="G68" s="43" t="s">
        <v>115</v>
      </c>
      <c r="H68" s="63">
        <v>12410</v>
      </c>
    </row>
    <row r="69" spans="1:9" ht="30" customHeight="1">
      <c r="A69" s="25">
        <v>61</v>
      </c>
      <c r="B69" s="26" t="s">
        <v>93</v>
      </c>
      <c r="C69" s="26" t="s">
        <v>121</v>
      </c>
      <c r="D69" s="130">
        <v>270</v>
      </c>
      <c r="E69" s="51">
        <v>400</v>
      </c>
      <c r="F69" s="27">
        <v>1</v>
      </c>
      <c r="G69" s="41">
        <f>InventoryList[[#This Row],[NLC (NET LANDING COST]]*InventoryList[[#This Row],[Quantity in stock]]</f>
        <v>270</v>
      </c>
      <c r="H69" s="62"/>
      <c r="I69" s="22"/>
    </row>
    <row r="70" spans="1:9" ht="30" customHeight="1">
      <c r="A70" s="25">
        <v>62</v>
      </c>
      <c r="B70" s="26" t="s">
        <v>94</v>
      </c>
      <c r="C70" s="26" t="s">
        <v>122</v>
      </c>
      <c r="D70" s="130">
        <v>240</v>
      </c>
      <c r="E70" s="51">
        <v>350</v>
      </c>
      <c r="F70" s="27">
        <v>4</v>
      </c>
      <c r="G70" s="41">
        <f>InventoryList[[#This Row],[NLC (NET LANDING COST]]*InventoryList[[#This Row],[Quantity in stock]]</f>
        <v>960</v>
      </c>
      <c r="H70" s="62"/>
      <c r="I70" s="22"/>
    </row>
    <row r="71" spans="1:9" ht="30" customHeight="1">
      <c r="A71" s="25">
        <v>63</v>
      </c>
      <c r="B71" s="26" t="s">
        <v>95</v>
      </c>
      <c r="C71" s="26" t="s">
        <v>123</v>
      </c>
      <c r="D71" s="130">
        <v>240</v>
      </c>
      <c r="E71" s="51">
        <v>350</v>
      </c>
      <c r="F71" s="27">
        <v>2</v>
      </c>
      <c r="G71" s="41">
        <f>InventoryList[[#This Row],[NLC (NET LANDING COST]]*InventoryList[[#This Row],[Quantity in stock]]</f>
        <v>480</v>
      </c>
      <c r="H71" s="62"/>
      <c r="I71" s="22"/>
    </row>
    <row r="72" spans="1:9" ht="30" customHeight="1">
      <c r="A72" s="25">
        <v>64</v>
      </c>
      <c r="B72" s="26" t="s">
        <v>96</v>
      </c>
      <c r="C72" s="26" t="s">
        <v>124</v>
      </c>
      <c r="D72" s="130">
        <v>90</v>
      </c>
      <c r="E72" s="51">
        <v>200</v>
      </c>
      <c r="F72" s="27">
        <v>2</v>
      </c>
      <c r="G72" s="41">
        <f>InventoryList[[#This Row],[NLC (NET LANDING COST]]*InventoryList[[#This Row],[Quantity in stock]]</f>
        <v>180</v>
      </c>
      <c r="H72" s="62"/>
      <c r="I72" s="22"/>
    </row>
    <row r="73" spans="1:9" ht="30" customHeight="1">
      <c r="A73" s="25">
        <v>65</v>
      </c>
      <c r="B73" s="26" t="s">
        <v>97</v>
      </c>
      <c r="C73" s="26" t="s">
        <v>125</v>
      </c>
      <c r="D73" s="130">
        <v>160</v>
      </c>
      <c r="E73" s="51">
        <v>250</v>
      </c>
      <c r="F73" s="27">
        <v>2</v>
      </c>
      <c r="G73" s="41">
        <f>InventoryList[[#This Row],[NLC (NET LANDING COST]]*InventoryList[[#This Row],[Quantity in stock]]</f>
        <v>320</v>
      </c>
      <c r="H73" s="62"/>
      <c r="I73" s="22"/>
    </row>
    <row r="74" spans="1:9" ht="30" customHeight="1">
      <c r="A74" s="25">
        <v>66</v>
      </c>
      <c r="B74" s="26" t="s">
        <v>98</v>
      </c>
      <c r="C74" s="26" t="s">
        <v>721</v>
      </c>
      <c r="D74" s="130">
        <v>720</v>
      </c>
      <c r="E74" s="51">
        <v>950</v>
      </c>
      <c r="F74" s="27">
        <v>4</v>
      </c>
      <c r="G74" s="41">
        <f>InventoryList[[#This Row],[NLC (NET LANDING COST]]*InventoryList[[#This Row],[Quantity in stock]]</f>
        <v>2880</v>
      </c>
      <c r="H74" s="62"/>
      <c r="I74" s="22"/>
    </row>
    <row r="75" spans="1:9" ht="30" customHeight="1">
      <c r="A75" s="25">
        <v>67</v>
      </c>
      <c r="B75" s="26" t="s">
        <v>99</v>
      </c>
      <c r="C75" s="26" t="s">
        <v>722</v>
      </c>
      <c r="D75" s="130">
        <v>720</v>
      </c>
      <c r="E75" s="51">
        <v>950</v>
      </c>
      <c r="F75" s="27">
        <v>4</v>
      </c>
      <c r="G75" s="41">
        <f>InventoryList[[#This Row],[NLC (NET LANDING COST]]*InventoryList[[#This Row],[Quantity in stock]]</f>
        <v>2880</v>
      </c>
      <c r="H75" s="62" t="s">
        <v>816</v>
      </c>
      <c r="I75" s="22"/>
    </row>
    <row r="76" spans="1:9" ht="30" customHeight="1">
      <c r="A76" s="25">
        <v>68</v>
      </c>
      <c r="B76" s="26" t="s">
        <v>100</v>
      </c>
      <c r="C76" s="26" t="s">
        <v>723</v>
      </c>
      <c r="D76" s="130">
        <v>720</v>
      </c>
      <c r="E76" s="51">
        <v>950</v>
      </c>
      <c r="F76" s="27">
        <v>4</v>
      </c>
      <c r="G76" s="41">
        <f>InventoryList[[#This Row],[NLC (NET LANDING COST]]*InventoryList[[#This Row],[Quantity in stock]]</f>
        <v>2880</v>
      </c>
      <c r="H76" s="62"/>
      <c r="I76" s="22"/>
    </row>
    <row r="77" spans="1:9" ht="30" customHeight="1">
      <c r="A77" s="25">
        <v>69</v>
      </c>
      <c r="B77" s="26" t="s">
        <v>101</v>
      </c>
      <c r="C77" s="26" t="s">
        <v>618</v>
      </c>
      <c r="D77" s="130">
        <v>700</v>
      </c>
      <c r="E77" s="51">
        <v>950</v>
      </c>
      <c r="F77" s="27">
        <v>2</v>
      </c>
      <c r="G77" s="41">
        <f>InventoryList[[#This Row],[NLC (NET LANDING COST]]*InventoryList[[#This Row],[Quantity in stock]]</f>
        <v>1400</v>
      </c>
      <c r="H77" s="62"/>
      <c r="I77" s="22"/>
    </row>
    <row r="78" spans="1:9" ht="30" customHeight="1">
      <c r="A78" s="25">
        <v>70</v>
      </c>
      <c r="B78" s="26" t="s">
        <v>102</v>
      </c>
      <c r="C78" s="26" t="s">
        <v>126</v>
      </c>
      <c r="D78" s="130">
        <v>750</v>
      </c>
      <c r="E78" s="51">
        <v>950</v>
      </c>
      <c r="F78" s="27">
        <v>2</v>
      </c>
      <c r="G78" s="41">
        <f>InventoryList[[#This Row],[NLC (NET LANDING COST]]*InventoryList[[#This Row],[Quantity in stock]]</f>
        <v>1500</v>
      </c>
      <c r="H78" s="62"/>
      <c r="I78" s="22"/>
    </row>
    <row r="79" spans="1:9" ht="30" customHeight="1">
      <c r="A79" s="25">
        <v>71</v>
      </c>
      <c r="B79" s="26" t="s">
        <v>103</v>
      </c>
      <c r="C79" s="26" t="s">
        <v>619</v>
      </c>
      <c r="D79" s="130">
        <v>850</v>
      </c>
      <c r="E79" s="51">
        <v>1100</v>
      </c>
      <c r="F79" s="27">
        <v>2</v>
      </c>
      <c r="G79" s="41">
        <f>InventoryList[[#This Row],[NLC (NET LANDING COST]]*InventoryList[[#This Row],[Quantity in stock]]</f>
        <v>1700</v>
      </c>
      <c r="H79" s="62"/>
      <c r="I79" s="22"/>
    </row>
    <row r="80" spans="1:9" ht="30" customHeight="1">
      <c r="A80" s="25">
        <v>72</v>
      </c>
      <c r="B80" s="26" t="s">
        <v>104</v>
      </c>
      <c r="C80" s="26" t="s">
        <v>239</v>
      </c>
      <c r="D80" s="130">
        <v>850</v>
      </c>
      <c r="E80" s="51">
        <v>1100</v>
      </c>
      <c r="F80" s="27">
        <v>1</v>
      </c>
      <c r="G80" s="41">
        <f>InventoryList[[#This Row],[NLC (NET LANDING COST]]*InventoryList[[#This Row],[Quantity in stock]]</f>
        <v>850</v>
      </c>
      <c r="H80" s="62"/>
      <c r="I80" s="22"/>
    </row>
    <row r="81" spans="1:9" ht="30" customHeight="1">
      <c r="A81" s="25">
        <v>73</v>
      </c>
      <c r="B81" s="26" t="s">
        <v>127</v>
      </c>
      <c r="C81" s="26" t="s">
        <v>240</v>
      </c>
      <c r="D81" s="130">
        <v>900</v>
      </c>
      <c r="E81" s="51">
        <v>1200</v>
      </c>
      <c r="F81" s="27">
        <v>1</v>
      </c>
      <c r="G81" s="41">
        <f>InventoryList[[#This Row],[NLC (NET LANDING COST]]*InventoryList[[#This Row],[Quantity in stock]]</f>
        <v>900</v>
      </c>
      <c r="H81" s="62"/>
      <c r="I81" s="22"/>
    </row>
    <row r="82" spans="1:9" ht="30" customHeight="1">
      <c r="A82" s="25">
        <v>74</v>
      </c>
      <c r="B82" s="26" t="s">
        <v>128</v>
      </c>
      <c r="C82" s="26" t="s">
        <v>243</v>
      </c>
      <c r="D82" s="130">
        <v>850</v>
      </c>
      <c r="E82" s="51">
        <v>1100</v>
      </c>
      <c r="F82" s="27">
        <v>2</v>
      </c>
      <c r="G82" s="41">
        <f>InventoryList[[#This Row],[NLC (NET LANDING COST]]*InventoryList[[#This Row],[Quantity in stock]]</f>
        <v>1700</v>
      </c>
      <c r="H82" s="62"/>
      <c r="I82" s="22"/>
    </row>
    <row r="83" spans="1:9" ht="30" customHeight="1">
      <c r="A83" s="25">
        <v>75</v>
      </c>
      <c r="B83" s="26" t="s">
        <v>129</v>
      </c>
      <c r="C83" s="26" t="s">
        <v>241</v>
      </c>
      <c r="D83" s="130">
        <v>850</v>
      </c>
      <c r="E83" s="51">
        <v>1100</v>
      </c>
      <c r="F83" s="27">
        <v>4</v>
      </c>
      <c r="G83" s="41">
        <f>InventoryList[[#This Row],[NLC (NET LANDING COST]]*InventoryList[[#This Row],[Quantity in stock]]</f>
        <v>3400</v>
      </c>
      <c r="H83" s="62"/>
      <c r="I83" s="22"/>
    </row>
    <row r="84" spans="1:9" ht="30" customHeight="1">
      <c r="A84" s="25">
        <v>76</v>
      </c>
      <c r="B84" s="26" t="s">
        <v>130</v>
      </c>
      <c r="C84" s="26" t="s">
        <v>242</v>
      </c>
      <c r="D84" s="130">
        <v>850</v>
      </c>
      <c r="E84" s="51">
        <v>1100</v>
      </c>
      <c r="F84" s="27">
        <v>4</v>
      </c>
      <c r="G84" s="41">
        <f>InventoryList[[#This Row],[NLC (NET LANDING COST]]*InventoryList[[#This Row],[Quantity in stock]]</f>
        <v>3400</v>
      </c>
      <c r="H84" s="62"/>
      <c r="I84" s="22"/>
    </row>
    <row r="85" spans="1:9" ht="30" customHeight="1">
      <c r="A85" s="25">
        <v>77</v>
      </c>
      <c r="B85" s="26" t="s">
        <v>131</v>
      </c>
      <c r="C85" s="79" t="s">
        <v>1236</v>
      </c>
      <c r="D85" s="130">
        <v>210</v>
      </c>
      <c r="E85" s="51">
        <v>350</v>
      </c>
      <c r="F85" s="27">
        <v>5</v>
      </c>
      <c r="G85" s="41">
        <f>InventoryList[[#This Row],[NLC (NET LANDING COST]]*InventoryList[[#This Row],[Quantity in stock]]</f>
        <v>1050</v>
      </c>
      <c r="H85" s="62"/>
      <c r="I85" s="22"/>
    </row>
    <row r="86" spans="1:9" ht="30" customHeight="1">
      <c r="A86" s="25">
        <v>78</v>
      </c>
      <c r="B86" s="26" t="s">
        <v>132</v>
      </c>
      <c r="C86" s="26" t="s">
        <v>832</v>
      </c>
      <c r="D86" s="130">
        <v>320</v>
      </c>
      <c r="E86" s="51">
        <v>500</v>
      </c>
      <c r="F86" s="27">
        <v>3</v>
      </c>
      <c r="G86" s="41">
        <f>InventoryList[[#This Row],[NLC (NET LANDING COST]]*InventoryList[[#This Row],[Quantity in stock]]</f>
        <v>960</v>
      </c>
      <c r="H86" s="62"/>
      <c r="I86" s="22"/>
    </row>
    <row r="87" spans="1:9" ht="30" customHeight="1">
      <c r="A87" s="25">
        <v>79</v>
      </c>
      <c r="B87" s="26" t="s">
        <v>133</v>
      </c>
      <c r="C87" s="26" t="s">
        <v>837</v>
      </c>
      <c r="D87" s="130">
        <v>210</v>
      </c>
      <c r="E87" s="51">
        <v>350</v>
      </c>
      <c r="F87" s="27">
        <v>3</v>
      </c>
      <c r="G87" s="41">
        <f>InventoryList[[#This Row],[NLC (NET LANDING COST]]*InventoryList[[#This Row],[Quantity in stock]]</f>
        <v>630</v>
      </c>
      <c r="H87" s="62"/>
      <c r="I87" s="22"/>
    </row>
    <row r="88" spans="1:9" ht="30" customHeight="1">
      <c r="A88" s="25">
        <v>80</v>
      </c>
      <c r="B88" s="26" t="s">
        <v>134</v>
      </c>
      <c r="C88" s="26" t="s">
        <v>620</v>
      </c>
      <c r="D88" s="130">
        <v>280</v>
      </c>
      <c r="E88" s="51">
        <v>400</v>
      </c>
      <c r="F88" s="27">
        <v>5</v>
      </c>
      <c r="G88" s="41">
        <f>InventoryList[[#This Row],[NLC (NET LANDING COST]]*InventoryList[[#This Row],[Quantity in stock]]</f>
        <v>1400</v>
      </c>
      <c r="H88" s="62"/>
      <c r="I88" s="22"/>
    </row>
    <row r="89" spans="1:9" s="10" customFormat="1" ht="30" customHeight="1">
      <c r="A89" s="28" t="s">
        <v>51</v>
      </c>
      <c r="B89" s="29">
        <v>3203</v>
      </c>
      <c r="C89" s="29"/>
      <c r="D89" s="130" t="s">
        <v>120</v>
      </c>
      <c r="E89" s="43"/>
      <c r="F89" s="30"/>
      <c r="G89" s="43"/>
      <c r="H89" s="63">
        <v>29740</v>
      </c>
    </row>
    <row r="90" spans="1:9" ht="30" customHeight="1">
      <c r="A90" s="25">
        <v>81</v>
      </c>
      <c r="B90" s="26" t="s">
        <v>135</v>
      </c>
      <c r="C90" s="26" t="s">
        <v>289</v>
      </c>
      <c r="D90" s="130">
        <v>290</v>
      </c>
      <c r="E90" s="51">
        <v>450</v>
      </c>
      <c r="F90" s="27">
        <v>5</v>
      </c>
      <c r="G90" s="41">
        <f>InventoryList[[#This Row],[NLC (NET LANDING COST]]*InventoryList[[#This Row],[Quantity in stock]]</f>
        <v>1450</v>
      </c>
      <c r="H90" s="62"/>
      <c r="I90" s="22"/>
    </row>
    <row r="91" spans="1:9" ht="30" customHeight="1">
      <c r="A91" s="25">
        <v>82</v>
      </c>
      <c r="B91" s="26" t="s">
        <v>136</v>
      </c>
      <c r="C91" s="26" t="s">
        <v>290</v>
      </c>
      <c r="D91" s="130">
        <v>260</v>
      </c>
      <c r="E91" s="51">
        <v>400</v>
      </c>
      <c r="F91" s="27">
        <v>3</v>
      </c>
      <c r="G91" s="41">
        <f>InventoryList[[#This Row],[NLC (NET LANDING COST]]*InventoryList[[#This Row],[Quantity in stock]]</f>
        <v>780</v>
      </c>
      <c r="H91" s="62"/>
      <c r="I91" s="22"/>
    </row>
    <row r="92" spans="1:9" ht="30" customHeight="1">
      <c r="A92" s="25">
        <v>83</v>
      </c>
      <c r="B92" s="26" t="s">
        <v>137</v>
      </c>
      <c r="C92" s="26" t="s">
        <v>291</v>
      </c>
      <c r="D92" s="130">
        <v>370</v>
      </c>
      <c r="E92" s="51">
        <v>550</v>
      </c>
      <c r="F92" s="27">
        <v>4</v>
      </c>
      <c r="G92" s="41">
        <f>InventoryList[[#This Row],[NLC (NET LANDING COST]]*InventoryList[[#This Row],[Quantity in stock]]</f>
        <v>1480</v>
      </c>
      <c r="H92" s="62"/>
      <c r="I92" s="22"/>
    </row>
    <row r="93" spans="1:9" ht="30" customHeight="1">
      <c r="A93" s="25">
        <v>84</v>
      </c>
      <c r="B93" s="26" t="s">
        <v>138</v>
      </c>
      <c r="C93" s="26" t="s">
        <v>621</v>
      </c>
      <c r="D93" s="130">
        <v>260</v>
      </c>
      <c r="E93" s="51">
        <v>400</v>
      </c>
      <c r="F93" s="27">
        <v>2</v>
      </c>
      <c r="G93" s="41">
        <f>InventoryList[[#This Row],[NLC (NET LANDING COST]]*InventoryList[[#This Row],[Quantity in stock]]</f>
        <v>520</v>
      </c>
      <c r="H93" s="62"/>
      <c r="I93" s="22"/>
    </row>
    <row r="94" spans="1:9" ht="30" customHeight="1">
      <c r="A94" s="25">
        <v>85</v>
      </c>
      <c r="B94" s="26" t="s">
        <v>139</v>
      </c>
      <c r="C94" s="79" t="s">
        <v>292</v>
      </c>
      <c r="D94" s="130">
        <v>260</v>
      </c>
      <c r="E94" s="51">
        <v>400</v>
      </c>
      <c r="F94" s="27">
        <v>2</v>
      </c>
      <c r="G94" s="41">
        <f>InventoryList[[#This Row],[NLC (NET LANDING COST]]*InventoryList[[#This Row],[Quantity in stock]]</f>
        <v>520</v>
      </c>
      <c r="H94" s="62"/>
      <c r="I94" s="22"/>
    </row>
    <row r="95" spans="1:9" ht="30" customHeight="1">
      <c r="A95" s="25">
        <v>86</v>
      </c>
      <c r="B95" s="26" t="s">
        <v>140</v>
      </c>
      <c r="C95" s="79" t="s">
        <v>1235</v>
      </c>
      <c r="D95" s="130">
        <v>240</v>
      </c>
      <c r="E95" s="51">
        <v>400</v>
      </c>
      <c r="F95" s="27">
        <v>2</v>
      </c>
      <c r="G95" s="41">
        <f>InventoryList[[#This Row],[NLC (NET LANDING COST]]*InventoryList[[#This Row],[Quantity in stock]]</f>
        <v>480</v>
      </c>
      <c r="H95" s="62"/>
      <c r="I95" s="22"/>
    </row>
    <row r="96" spans="1:9" ht="30" customHeight="1">
      <c r="A96" s="25">
        <v>87</v>
      </c>
      <c r="B96" s="26" t="s">
        <v>141</v>
      </c>
      <c r="C96" s="26" t="s">
        <v>293</v>
      </c>
      <c r="D96" s="130">
        <v>240</v>
      </c>
      <c r="E96" s="51">
        <v>400</v>
      </c>
      <c r="F96" s="27">
        <v>1</v>
      </c>
      <c r="G96" s="41">
        <f>InventoryList[[#This Row],[NLC (NET LANDING COST]]*InventoryList[[#This Row],[Quantity in stock]]</f>
        <v>240</v>
      </c>
      <c r="H96" s="62"/>
      <c r="I96" s="22"/>
    </row>
    <row r="97" spans="1:9" ht="30" customHeight="1">
      <c r="A97" s="25">
        <v>88</v>
      </c>
      <c r="B97" s="26" t="s">
        <v>142</v>
      </c>
      <c r="C97" s="26" t="s">
        <v>294</v>
      </c>
      <c r="D97" s="130">
        <v>280</v>
      </c>
      <c r="E97" s="51">
        <v>450</v>
      </c>
      <c r="F97" s="27">
        <v>1</v>
      </c>
      <c r="G97" s="41">
        <f>InventoryList[[#This Row],[NLC (NET LANDING COST]]*InventoryList[[#This Row],[Quantity in stock]]</f>
        <v>280</v>
      </c>
      <c r="H97" s="62"/>
      <c r="I97" s="22"/>
    </row>
    <row r="98" spans="1:9" ht="30" customHeight="1">
      <c r="A98" s="25">
        <v>89</v>
      </c>
      <c r="B98" s="26" t="s">
        <v>143</v>
      </c>
      <c r="C98" s="26" t="s">
        <v>622</v>
      </c>
      <c r="D98" s="130">
        <v>280</v>
      </c>
      <c r="E98" s="51">
        <v>450</v>
      </c>
      <c r="F98" s="27">
        <v>1</v>
      </c>
      <c r="G98" s="41">
        <f>InventoryList[[#This Row],[NLC (NET LANDING COST]]*InventoryList[[#This Row],[Quantity in stock]]</f>
        <v>280</v>
      </c>
      <c r="H98" s="62"/>
      <c r="I98" s="22"/>
    </row>
    <row r="99" spans="1:9" ht="30" customHeight="1">
      <c r="A99" s="25">
        <v>90</v>
      </c>
      <c r="B99" s="26" t="s">
        <v>144</v>
      </c>
      <c r="C99" s="26" t="s">
        <v>295</v>
      </c>
      <c r="D99" s="130">
        <v>260</v>
      </c>
      <c r="E99" s="51">
        <v>450</v>
      </c>
      <c r="F99" s="27">
        <v>2</v>
      </c>
      <c r="G99" s="41">
        <f>InventoryList[[#This Row],[NLC (NET LANDING COST]]*InventoryList[[#This Row],[Quantity in stock]]</f>
        <v>520</v>
      </c>
      <c r="H99" s="62"/>
      <c r="I99" s="22"/>
    </row>
    <row r="100" spans="1:9" ht="30" customHeight="1">
      <c r="A100" s="25">
        <v>91</v>
      </c>
      <c r="B100" s="26" t="s">
        <v>145</v>
      </c>
      <c r="C100" s="26" t="s">
        <v>296</v>
      </c>
      <c r="D100" s="130">
        <v>260</v>
      </c>
      <c r="E100" s="51">
        <v>450</v>
      </c>
      <c r="F100" s="27">
        <v>1</v>
      </c>
      <c r="G100" s="41">
        <f>InventoryList[[#This Row],[NLC (NET LANDING COST]]*InventoryList[[#This Row],[Quantity in stock]]</f>
        <v>260</v>
      </c>
      <c r="H100" s="62"/>
      <c r="I100" s="22"/>
    </row>
    <row r="101" spans="1:9" ht="30" customHeight="1">
      <c r="A101" s="25">
        <v>92</v>
      </c>
      <c r="B101" s="26" t="s">
        <v>146</v>
      </c>
      <c r="C101" s="26" t="s">
        <v>297</v>
      </c>
      <c r="D101" s="130">
        <v>230</v>
      </c>
      <c r="E101" s="51">
        <v>400</v>
      </c>
      <c r="F101" s="27">
        <v>1</v>
      </c>
      <c r="G101" s="41">
        <f>InventoryList[[#This Row],[NLC (NET LANDING COST]]*InventoryList[[#This Row],[Quantity in stock]]</f>
        <v>230</v>
      </c>
      <c r="H101" s="62"/>
      <c r="I101" s="22"/>
    </row>
    <row r="102" spans="1:9" ht="30" customHeight="1">
      <c r="A102" s="25">
        <v>93</v>
      </c>
      <c r="B102" s="26" t="s">
        <v>147</v>
      </c>
      <c r="C102" s="79" t="s">
        <v>298</v>
      </c>
      <c r="D102" s="130">
        <v>240</v>
      </c>
      <c r="E102" s="51">
        <v>400</v>
      </c>
      <c r="F102" s="27">
        <v>2</v>
      </c>
      <c r="G102" s="41">
        <f>InventoryList[[#This Row],[NLC (NET LANDING COST]]*InventoryList[[#This Row],[Quantity in stock]]</f>
        <v>480</v>
      </c>
      <c r="H102" s="62"/>
      <c r="I102" s="22"/>
    </row>
    <row r="103" spans="1:9" ht="30" customHeight="1">
      <c r="A103" s="25">
        <v>94</v>
      </c>
      <c r="B103" s="26" t="s">
        <v>148</v>
      </c>
      <c r="C103" s="79" t="s">
        <v>623</v>
      </c>
      <c r="D103" s="130">
        <v>220</v>
      </c>
      <c r="E103" s="51">
        <v>400</v>
      </c>
      <c r="F103" s="27">
        <v>1</v>
      </c>
      <c r="G103" s="41">
        <f>InventoryList[[#This Row],[NLC (NET LANDING COST]]*InventoryList[[#This Row],[Quantity in stock]]</f>
        <v>220</v>
      </c>
      <c r="H103" s="62"/>
      <c r="I103" s="22"/>
    </row>
    <row r="104" spans="1:9" ht="30" customHeight="1">
      <c r="A104" s="25">
        <v>95</v>
      </c>
      <c r="B104" s="26" t="s">
        <v>149</v>
      </c>
      <c r="C104" s="26" t="s">
        <v>299</v>
      </c>
      <c r="D104" s="130">
        <v>260</v>
      </c>
      <c r="E104" s="51">
        <v>450</v>
      </c>
      <c r="F104" s="27">
        <v>4</v>
      </c>
      <c r="G104" s="41">
        <f>InventoryList[[#This Row],[NLC (NET LANDING COST]]*InventoryList[[#This Row],[Quantity in stock]]</f>
        <v>1040</v>
      </c>
      <c r="H104" s="62"/>
      <c r="I104" s="22"/>
    </row>
    <row r="105" spans="1:9" ht="30" customHeight="1">
      <c r="A105" s="25">
        <v>96</v>
      </c>
      <c r="B105" s="26" t="s">
        <v>150</v>
      </c>
      <c r="C105" s="26" t="s">
        <v>624</v>
      </c>
      <c r="D105" s="130">
        <v>240</v>
      </c>
      <c r="E105" s="51">
        <v>450</v>
      </c>
      <c r="F105" s="27">
        <v>2</v>
      </c>
      <c r="G105" s="41">
        <f>InventoryList[[#This Row],[NLC (NET LANDING COST]]*InventoryList[[#This Row],[Quantity in stock]]</f>
        <v>480</v>
      </c>
      <c r="H105" s="62"/>
      <c r="I105" s="22"/>
    </row>
    <row r="106" spans="1:9" ht="30" customHeight="1">
      <c r="A106" s="25">
        <v>97</v>
      </c>
      <c r="B106" s="26" t="s">
        <v>151</v>
      </c>
      <c r="C106" s="26" t="s">
        <v>300</v>
      </c>
      <c r="D106" s="130">
        <v>180</v>
      </c>
      <c r="E106" s="51">
        <v>350</v>
      </c>
      <c r="F106" s="27">
        <v>4</v>
      </c>
      <c r="G106" s="41">
        <f>InventoryList[[#This Row],[NLC (NET LANDING COST]]*InventoryList[[#This Row],[Quantity in stock]]</f>
        <v>720</v>
      </c>
      <c r="H106" s="62"/>
      <c r="I106" s="22"/>
    </row>
    <row r="107" spans="1:9" ht="30" customHeight="1">
      <c r="A107" s="25">
        <v>98</v>
      </c>
      <c r="B107" s="26" t="s">
        <v>152</v>
      </c>
      <c r="C107" s="26" t="s">
        <v>625</v>
      </c>
      <c r="D107" s="130">
        <v>310</v>
      </c>
      <c r="E107" s="51">
        <v>450</v>
      </c>
      <c r="F107" s="27">
        <v>2</v>
      </c>
      <c r="G107" s="41">
        <f>InventoryList[[#This Row],[NLC (NET LANDING COST]]*InventoryList[[#This Row],[Quantity in stock]]</f>
        <v>620</v>
      </c>
      <c r="H107" s="62"/>
      <c r="I107" s="22"/>
    </row>
    <row r="108" spans="1:9" ht="30" customHeight="1">
      <c r="A108" s="25">
        <v>99</v>
      </c>
      <c r="B108" s="26" t="s">
        <v>153</v>
      </c>
      <c r="C108" s="26" t="s">
        <v>301</v>
      </c>
      <c r="D108" s="130">
        <v>200</v>
      </c>
      <c r="E108" s="51">
        <v>350</v>
      </c>
      <c r="F108" s="27">
        <v>1</v>
      </c>
      <c r="G108" s="41">
        <f>InventoryList[[#This Row],[NLC (NET LANDING COST]]*InventoryList[[#This Row],[Quantity in stock]]</f>
        <v>200</v>
      </c>
      <c r="H108" s="62"/>
      <c r="I108" s="22"/>
    </row>
    <row r="109" spans="1:9" ht="30" customHeight="1">
      <c r="A109" s="25">
        <v>100</v>
      </c>
      <c r="B109" s="26" t="s">
        <v>154</v>
      </c>
      <c r="C109" s="26" t="s">
        <v>626</v>
      </c>
      <c r="D109" s="130">
        <v>260</v>
      </c>
      <c r="E109" s="51">
        <v>450</v>
      </c>
      <c r="F109" s="27">
        <v>1</v>
      </c>
      <c r="G109" s="41">
        <f>InventoryList[[#This Row],[NLC (NET LANDING COST]]*InventoryList[[#This Row],[Quantity in stock]]</f>
        <v>260</v>
      </c>
      <c r="H109" s="62"/>
      <c r="I109" s="22"/>
    </row>
    <row r="110" spans="1:9" s="10" customFormat="1" ht="30" customHeight="1">
      <c r="A110" s="28" t="s">
        <v>51</v>
      </c>
      <c r="B110" s="29">
        <v>3202</v>
      </c>
      <c r="C110" s="29"/>
      <c r="D110" s="130" t="s">
        <v>120</v>
      </c>
      <c r="E110" s="43"/>
      <c r="F110" s="30"/>
      <c r="G110" s="43"/>
      <c r="H110" s="63">
        <v>11060</v>
      </c>
      <c r="I110" s="11"/>
    </row>
    <row r="111" spans="1:9" ht="30" customHeight="1">
      <c r="A111" s="25">
        <v>101</v>
      </c>
      <c r="B111" s="26" t="s">
        <v>155</v>
      </c>
      <c r="C111" s="26" t="s">
        <v>302</v>
      </c>
      <c r="D111" s="130">
        <v>370</v>
      </c>
      <c r="E111" s="51">
        <v>550</v>
      </c>
      <c r="F111" s="27">
        <v>5</v>
      </c>
      <c r="G111" s="41">
        <f>InventoryList[[#This Row],[NLC (NET LANDING COST]]*InventoryList[[#This Row],[Quantity in stock]]</f>
        <v>1850</v>
      </c>
      <c r="H111" s="62"/>
      <c r="I111" s="22"/>
    </row>
    <row r="112" spans="1:9" ht="30" customHeight="1">
      <c r="A112" s="25">
        <v>102</v>
      </c>
      <c r="B112" s="26" t="s">
        <v>156</v>
      </c>
      <c r="C112" s="26" t="s">
        <v>303</v>
      </c>
      <c r="D112" s="130">
        <v>370</v>
      </c>
      <c r="E112" s="51">
        <v>550</v>
      </c>
      <c r="F112" s="27">
        <v>5</v>
      </c>
      <c r="G112" s="41">
        <f>InventoryList[[#This Row],[NLC (NET LANDING COST]]*InventoryList[[#This Row],[Quantity in stock]]</f>
        <v>1850</v>
      </c>
      <c r="H112" s="62"/>
      <c r="I112" s="22"/>
    </row>
    <row r="113" spans="1:9" ht="30" customHeight="1">
      <c r="A113" s="25">
        <v>103</v>
      </c>
      <c r="B113" s="26" t="s">
        <v>157</v>
      </c>
      <c r="C113" s="26" t="s">
        <v>317</v>
      </c>
      <c r="D113" s="130">
        <v>260</v>
      </c>
      <c r="E113" s="51">
        <v>450</v>
      </c>
      <c r="F113" s="27">
        <v>3</v>
      </c>
      <c r="G113" s="41">
        <f>InventoryList[[#This Row],[NLC (NET LANDING COST]]*InventoryList[[#This Row],[Quantity in stock]]</f>
        <v>780</v>
      </c>
      <c r="H113" s="62"/>
      <c r="I113" s="22"/>
    </row>
    <row r="114" spans="1:9" ht="30" customHeight="1">
      <c r="A114" s="25">
        <v>104</v>
      </c>
      <c r="B114" s="26" t="s">
        <v>158</v>
      </c>
      <c r="C114" s="26" t="s">
        <v>304</v>
      </c>
      <c r="D114" s="130">
        <v>260</v>
      </c>
      <c r="E114" s="51">
        <v>450</v>
      </c>
      <c r="F114" s="27">
        <v>3</v>
      </c>
      <c r="G114" s="41">
        <f>InventoryList[[#This Row],[NLC (NET LANDING COST]]*InventoryList[[#This Row],[Quantity in stock]]</f>
        <v>780</v>
      </c>
      <c r="H114" s="62"/>
      <c r="I114" s="22"/>
    </row>
    <row r="115" spans="1:9" ht="30" customHeight="1">
      <c r="A115" s="25">
        <v>105</v>
      </c>
      <c r="B115" s="26" t="s">
        <v>159</v>
      </c>
      <c r="C115" s="26" t="s">
        <v>305</v>
      </c>
      <c r="D115" s="130">
        <v>250</v>
      </c>
      <c r="E115" s="51">
        <v>450</v>
      </c>
      <c r="F115" s="27">
        <v>3</v>
      </c>
      <c r="G115" s="41">
        <f>InventoryList[[#This Row],[NLC (NET LANDING COST]]*InventoryList[[#This Row],[Quantity in stock]]</f>
        <v>750</v>
      </c>
      <c r="H115" s="62"/>
      <c r="I115" s="22"/>
    </row>
    <row r="116" spans="1:9" ht="30" customHeight="1">
      <c r="A116" s="25">
        <v>106</v>
      </c>
      <c r="B116" s="26" t="s">
        <v>160</v>
      </c>
      <c r="C116" s="79" t="s">
        <v>306</v>
      </c>
      <c r="D116" s="130">
        <v>300</v>
      </c>
      <c r="E116" s="51">
        <v>450</v>
      </c>
      <c r="F116" s="27">
        <v>5</v>
      </c>
      <c r="G116" s="41">
        <f>InventoryList[[#This Row],[NLC (NET LANDING COST]]*InventoryList[[#This Row],[Quantity in stock]]</f>
        <v>1500</v>
      </c>
      <c r="H116" s="62"/>
      <c r="I116" s="22"/>
    </row>
    <row r="117" spans="1:9" ht="30" customHeight="1">
      <c r="A117" s="25">
        <v>107</v>
      </c>
      <c r="B117" s="26" t="s">
        <v>161</v>
      </c>
      <c r="C117" s="79" t="s">
        <v>307</v>
      </c>
      <c r="D117" s="130">
        <v>260</v>
      </c>
      <c r="E117" s="51">
        <v>450</v>
      </c>
      <c r="F117" s="27">
        <v>2</v>
      </c>
      <c r="G117" s="41">
        <f>InventoryList[[#This Row],[NLC (NET LANDING COST]]*InventoryList[[#This Row],[Quantity in stock]]</f>
        <v>520</v>
      </c>
      <c r="H117" s="62"/>
      <c r="I117" s="22"/>
    </row>
    <row r="118" spans="1:9" ht="30" customHeight="1">
      <c r="A118" s="25">
        <v>108</v>
      </c>
      <c r="B118" s="26" t="s">
        <v>162</v>
      </c>
      <c r="C118" s="26" t="s">
        <v>308</v>
      </c>
      <c r="D118" s="130">
        <v>250</v>
      </c>
      <c r="E118" s="51">
        <v>450</v>
      </c>
      <c r="F118" s="27">
        <v>2</v>
      </c>
      <c r="G118" s="41">
        <f>InventoryList[[#This Row],[NLC (NET LANDING COST]]*InventoryList[[#This Row],[Quantity in stock]]</f>
        <v>500</v>
      </c>
      <c r="H118" s="62"/>
      <c r="I118" s="22"/>
    </row>
    <row r="119" spans="1:9" ht="30" customHeight="1">
      <c r="A119" s="25">
        <v>109</v>
      </c>
      <c r="B119" s="26" t="s">
        <v>163</v>
      </c>
      <c r="C119" s="26" t="s">
        <v>309</v>
      </c>
      <c r="D119" s="130">
        <v>160</v>
      </c>
      <c r="E119" s="51">
        <v>350</v>
      </c>
      <c r="F119" s="27">
        <v>2</v>
      </c>
      <c r="G119" s="41">
        <f>InventoryList[[#This Row],[NLC (NET LANDING COST]]*InventoryList[[#This Row],[Quantity in stock]]</f>
        <v>320</v>
      </c>
      <c r="H119" s="62"/>
      <c r="I119" s="22"/>
    </row>
    <row r="120" spans="1:9" ht="30" customHeight="1">
      <c r="A120" s="25">
        <v>110</v>
      </c>
      <c r="B120" s="26" t="s">
        <v>164</v>
      </c>
      <c r="C120" s="26" t="s">
        <v>628</v>
      </c>
      <c r="D120" s="130">
        <v>250</v>
      </c>
      <c r="E120" s="51">
        <v>450</v>
      </c>
      <c r="F120" s="27">
        <v>2</v>
      </c>
      <c r="G120" s="41">
        <f>InventoryList[[#This Row],[NLC (NET LANDING COST]]*InventoryList[[#This Row],[Quantity in stock]]</f>
        <v>500</v>
      </c>
      <c r="H120" s="62"/>
      <c r="I120" s="22"/>
    </row>
    <row r="121" spans="1:9" ht="30" customHeight="1">
      <c r="A121" s="25">
        <v>111</v>
      </c>
      <c r="B121" s="26" t="s">
        <v>165</v>
      </c>
      <c r="C121" s="26" t="s">
        <v>310</v>
      </c>
      <c r="D121" s="130">
        <v>250</v>
      </c>
      <c r="E121" s="51">
        <v>450</v>
      </c>
      <c r="F121" s="27">
        <v>2</v>
      </c>
      <c r="G121" s="41">
        <f>InventoryList[[#This Row],[NLC (NET LANDING COST]]*InventoryList[[#This Row],[Quantity in stock]]</f>
        <v>500</v>
      </c>
      <c r="H121" s="62"/>
      <c r="I121" s="22"/>
    </row>
    <row r="122" spans="1:9" ht="30" customHeight="1">
      <c r="A122" s="25">
        <v>112</v>
      </c>
      <c r="B122" s="26" t="s">
        <v>166</v>
      </c>
      <c r="C122" s="26" t="s">
        <v>311</v>
      </c>
      <c r="D122" s="130">
        <v>250</v>
      </c>
      <c r="E122" s="51">
        <v>450</v>
      </c>
      <c r="F122" s="27">
        <v>2</v>
      </c>
      <c r="G122" s="41">
        <f>InventoryList[[#This Row],[NLC (NET LANDING COST]]*InventoryList[[#This Row],[Quantity in stock]]</f>
        <v>500</v>
      </c>
      <c r="H122" s="62"/>
      <c r="I122" s="22"/>
    </row>
    <row r="123" spans="1:9" ht="30" customHeight="1">
      <c r="A123" s="25">
        <v>113</v>
      </c>
      <c r="B123" s="26" t="s">
        <v>167</v>
      </c>
      <c r="C123" s="26" t="s">
        <v>312</v>
      </c>
      <c r="D123" s="130">
        <v>260</v>
      </c>
      <c r="E123" s="51">
        <v>450</v>
      </c>
      <c r="F123" s="27">
        <v>2</v>
      </c>
      <c r="G123" s="41">
        <f>InventoryList[[#This Row],[NLC (NET LANDING COST]]*InventoryList[[#This Row],[Quantity in stock]]</f>
        <v>520</v>
      </c>
      <c r="H123" s="62"/>
      <c r="I123" s="22"/>
    </row>
    <row r="124" spans="1:9" ht="30" customHeight="1">
      <c r="A124" s="25">
        <v>114</v>
      </c>
      <c r="B124" s="26" t="s">
        <v>168</v>
      </c>
      <c r="C124" s="26" t="s">
        <v>313</v>
      </c>
      <c r="D124" s="130">
        <v>250</v>
      </c>
      <c r="E124" s="51">
        <v>450</v>
      </c>
      <c r="F124" s="27">
        <v>2</v>
      </c>
      <c r="G124" s="41">
        <f>InventoryList[[#This Row],[NLC (NET LANDING COST]]*InventoryList[[#This Row],[Quantity in stock]]</f>
        <v>500</v>
      </c>
      <c r="H124" s="62"/>
      <c r="I124" s="22"/>
    </row>
    <row r="125" spans="1:9" ht="30" customHeight="1">
      <c r="A125" s="25">
        <v>115</v>
      </c>
      <c r="B125" s="26" t="s">
        <v>169</v>
      </c>
      <c r="C125" s="26" t="s">
        <v>314</v>
      </c>
      <c r="D125" s="130">
        <v>260</v>
      </c>
      <c r="E125" s="51">
        <v>450</v>
      </c>
      <c r="F125" s="27">
        <v>2</v>
      </c>
      <c r="G125" s="41">
        <f>InventoryList[[#This Row],[NLC (NET LANDING COST]]*InventoryList[[#This Row],[Quantity in stock]]</f>
        <v>520</v>
      </c>
      <c r="H125" s="62"/>
      <c r="I125" s="22"/>
    </row>
    <row r="126" spans="1:9" ht="30" customHeight="1">
      <c r="A126" s="25">
        <v>116</v>
      </c>
      <c r="B126" s="26" t="s">
        <v>170</v>
      </c>
      <c r="C126" s="26" t="s">
        <v>315</v>
      </c>
      <c r="D126" s="130">
        <v>260</v>
      </c>
      <c r="E126" s="51">
        <v>450</v>
      </c>
      <c r="F126" s="27">
        <v>2</v>
      </c>
      <c r="G126" s="41">
        <f>InventoryList[[#This Row],[NLC (NET LANDING COST]]*InventoryList[[#This Row],[Quantity in stock]]</f>
        <v>520</v>
      </c>
      <c r="H126" s="62"/>
      <c r="I126" s="22"/>
    </row>
    <row r="127" spans="1:9" ht="30" customHeight="1">
      <c r="A127" s="25">
        <v>117</v>
      </c>
      <c r="B127" s="26" t="s">
        <v>171</v>
      </c>
      <c r="C127" s="26" t="s">
        <v>316</v>
      </c>
      <c r="D127" s="130">
        <v>250</v>
      </c>
      <c r="E127" s="51">
        <v>450</v>
      </c>
      <c r="F127" s="27">
        <v>2</v>
      </c>
      <c r="G127" s="41">
        <f>InventoryList[[#This Row],[NLC (NET LANDING COST]]*InventoryList[[#This Row],[Quantity in stock]]</f>
        <v>500</v>
      </c>
      <c r="H127" s="62"/>
      <c r="I127" s="22"/>
    </row>
    <row r="128" spans="1:9" ht="30" customHeight="1">
      <c r="A128" s="25">
        <v>118</v>
      </c>
      <c r="B128" s="26" t="s">
        <v>172</v>
      </c>
      <c r="C128" s="26" t="s">
        <v>627</v>
      </c>
      <c r="D128" s="130">
        <v>250</v>
      </c>
      <c r="E128" s="51">
        <v>450</v>
      </c>
      <c r="F128" s="27">
        <v>2</v>
      </c>
      <c r="G128" s="41">
        <f>InventoryList[[#This Row],[NLC (NET LANDING COST]]*InventoryList[[#This Row],[Quantity in stock]]</f>
        <v>500</v>
      </c>
      <c r="H128" s="62"/>
      <c r="I128" s="22"/>
    </row>
    <row r="129" spans="1:10" ht="30" customHeight="1">
      <c r="A129" s="25">
        <v>119</v>
      </c>
      <c r="B129" s="26" t="s">
        <v>173</v>
      </c>
      <c r="C129" s="26" t="s">
        <v>318</v>
      </c>
      <c r="D129" s="130">
        <v>250</v>
      </c>
      <c r="E129" s="51">
        <v>450</v>
      </c>
      <c r="F129" s="27">
        <v>5</v>
      </c>
      <c r="G129" s="41">
        <f>InventoryList[[#This Row],[NLC (NET LANDING COST]]*InventoryList[[#This Row],[Quantity in stock]]</f>
        <v>1250</v>
      </c>
      <c r="H129" s="62"/>
      <c r="I129" s="22"/>
    </row>
    <row r="130" spans="1:10" ht="30" customHeight="1">
      <c r="A130" s="25">
        <v>120</v>
      </c>
      <c r="B130" s="26" t="s">
        <v>174</v>
      </c>
      <c r="C130" s="79" t="s">
        <v>629</v>
      </c>
      <c r="D130" s="130">
        <v>65</v>
      </c>
      <c r="E130" s="51">
        <v>150</v>
      </c>
      <c r="F130" s="27">
        <v>10</v>
      </c>
      <c r="G130" s="41">
        <f>InventoryList[[#This Row],[NLC (NET LANDING COST]]*InventoryList[[#This Row],[Quantity in stock]]</f>
        <v>650</v>
      </c>
      <c r="H130" s="62"/>
      <c r="I130" s="22"/>
    </row>
    <row r="131" spans="1:10" s="10" customFormat="1" ht="30" customHeight="1">
      <c r="A131" s="28" t="s">
        <v>51</v>
      </c>
      <c r="B131" s="29">
        <v>3201</v>
      </c>
      <c r="C131" s="29"/>
      <c r="D131" s="130" t="s">
        <v>120</v>
      </c>
      <c r="E131" s="43"/>
      <c r="F131" s="30" t="s">
        <v>323</v>
      </c>
      <c r="G131" s="75"/>
      <c r="H131" s="13">
        <v>17810</v>
      </c>
    </row>
    <row r="132" spans="1:10" s="10" customFormat="1" ht="30" customHeight="1">
      <c r="A132" s="31" t="s">
        <v>320</v>
      </c>
      <c r="B132" s="32">
        <v>45809</v>
      </c>
      <c r="C132" s="33" t="s">
        <v>319</v>
      </c>
      <c r="D132" s="131" t="s">
        <v>321</v>
      </c>
      <c r="E132" s="52"/>
      <c r="F132" s="34" t="s">
        <v>322</v>
      </c>
      <c r="G132" s="75"/>
      <c r="H132" s="43">
        <v>2500</v>
      </c>
      <c r="I132" s="44">
        <v>94485</v>
      </c>
      <c r="J132" s="15">
        <v>20515</v>
      </c>
    </row>
    <row r="133" spans="1:10" ht="30" customHeight="1">
      <c r="A133" s="25">
        <v>121</v>
      </c>
      <c r="B133" s="26" t="s">
        <v>175</v>
      </c>
      <c r="C133" s="26" t="s">
        <v>630</v>
      </c>
      <c r="D133" s="130">
        <v>380</v>
      </c>
      <c r="E133" s="51">
        <v>550</v>
      </c>
      <c r="F133" s="27">
        <v>2</v>
      </c>
      <c r="G133" s="41">
        <f>InventoryList[[#This Row],[NLC (NET LANDING COST]]*InventoryList[[#This Row],[Quantity in stock]]</f>
        <v>760</v>
      </c>
      <c r="H133" s="62"/>
      <c r="I133" s="22"/>
    </row>
    <row r="134" spans="1:10" ht="30" customHeight="1">
      <c r="A134" s="25">
        <v>122</v>
      </c>
      <c r="B134" s="26" t="s">
        <v>176</v>
      </c>
      <c r="C134" s="26" t="s">
        <v>324</v>
      </c>
      <c r="D134" s="130">
        <v>140</v>
      </c>
      <c r="E134" s="51">
        <v>300</v>
      </c>
      <c r="F134" s="27">
        <v>3</v>
      </c>
      <c r="G134" s="41">
        <f>InventoryList[[#This Row],[NLC (NET LANDING COST]]*InventoryList[[#This Row],[Quantity in stock]]</f>
        <v>420</v>
      </c>
      <c r="H134" s="62"/>
      <c r="I134" s="22"/>
    </row>
    <row r="135" spans="1:10" ht="30" customHeight="1">
      <c r="A135" s="25">
        <v>123</v>
      </c>
      <c r="B135" s="26" t="s">
        <v>177</v>
      </c>
      <c r="C135" s="26" t="s">
        <v>325</v>
      </c>
      <c r="D135" s="130">
        <v>150</v>
      </c>
      <c r="E135" s="51">
        <v>250</v>
      </c>
      <c r="F135" s="27">
        <v>5</v>
      </c>
      <c r="G135" s="41">
        <f>InventoryList[[#This Row],[NLC (NET LANDING COST]]*InventoryList[[#This Row],[Quantity in stock]]</f>
        <v>750</v>
      </c>
      <c r="H135" s="62"/>
      <c r="I135" s="22"/>
    </row>
    <row r="136" spans="1:10" ht="30" customHeight="1">
      <c r="A136" s="25">
        <v>124</v>
      </c>
      <c r="B136" s="26" t="s">
        <v>178</v>
      </c>
      <c r="C136" s="26" t="s">
        <v>326</v>
      </c>
      <c r="D136" s="130">
        <v>160</v>
      </c>
      <c r="E136" s="51">
        <v>250</v>
      </c>
      <c r="F136" s="27">
        <v>3</v>
      </c>
      <c r="G136" s="41">
        <f>InventoryList[[#This Row],[NLC (NET LANDING COST]]*InventoryList[[#This Row],[Quantity in stock]]</f>
        <v>480</v>
      </c>
      <c r="H136" s="62"/>
      <c r="I136" s="22"/>
    </row>
    <row r="137" spans="1:10" ht="30" customHeight="1">
      <c r="A137" s="25">
        <v>125</v>
      </c>
      <c r="B137" s="26" t="s">
        <v>179</v>
      </c>
      <c r="C137" s="26" t="s">
        <v>327</v>
      </c>
      <c r="D137" s="130">
        <v>80</v>
      </c>
      <c r="E137" s="51">
        <v>200</v>
      </c>
      <c r="F137" s="27">
        <v>10</v>
      </c>
      <c r="G137" s="41">
        <f>InventoryList[[#This Row],[NLC (NET LANDING COST]]*InventoryList[[#This Row],[Quantity in stock]]</f>
        <v>800</v>
      </c>
      <c r="H137" s="62"/>
      <c r="I137" s="22"/>
    </row>
    <row r="138" spans="1:10" ht="30" customHeight="1">
      <c r="A138" s="25">
        <v>126</v>
      </c>
      <c r="B138" s="26" t="s">
        <v>180</v>
      </c>
      <c r="C138" s="79" t="s">
        <v>328</v>
      </c>
      <c r="D138" s="130">
        <v>300</v>
      </c>
      <c r="E138" s="51">
        <v>450</v>
      </c>
      <c r="F138" s="27">
        <v>4</v>
      </c>
      <c r="G138" s="41">
        <f>InventoryList[[#This Row],[NLC (NET LANDING COST]]*InventoryList[[#This Row],[Quantity in stock]]</f>
        <v>1200</v>
      </c>
      <c r="H138" s="62"/>
      <c r="I138" s="22"/>
    </row>
    <row r="139" spans="1:10" ht="30" customHeight="1">
      <c r="A139" s="25">
        <v>127</v>
      </c>
      <c r="B139" s="26" t="s">
        <v>181</v>
      </c>
      <c r="C139" s="79" t="s">
        <v>329</v>
      </c>
      <c r="D139" s="130">
        <v>300</v>
      </c>
      <c r="E139" s="51">
        <v>450</v>
      </c>
      <c r="F139" s="27">
        <v>2</v>
      </c>
      <c r="G139" s="41">
        <f>InventoryList[[#This Row],[NLC (NET LANDING COST]]*InventoryList[[#This Row],[Quantity in stock]]</f>
        <v>600</v>
      </c>
      <c r="H139" s="62"/>
      <c r="I139" s="22"/>
    </row>
    <row r="140" spans="1:10" ht="30" customHeight="1">
      <c r="A140" s="25">
        <v>128</v>
      </c>
      <c r="B140" s="26" t="s">
        <v>182</v>
      </c>
      <c r="C140" s="26" t="s">
        <v>820</v>
      </c>
      <c r="D140" s="130">
        <v>19</v>
      </c>
      <c r="E140" s="51">
        <v>30</v>
      </c>
      <c r="F140" s="27">
        <v>50</v>
      </c>
      <c r="G140" s="41">
        <f>InventoryList[[#This Row],[NLC (NET LANDING COST]]*InventoryList[[#This Row],[Quantity in stock]]</f>
        <v>950</v>
      </c>
      <c r="H140" s="62"/>
      <c r="I140" s="22"/>
    </row>
    <row r="141" spans="1:10" ht="30" customHeight="1">
      <c r="A141" s="25">
        <v>129</v>
      </c>
      <c r="B141" s="26" t="s">
        <v>183</v>
      </c>
      <c r="C141" s="26" t="s">
        <v>631</v>
      </c>
      <c r="D141" s="130">
        <v>230</v>
      </c>
      <c r="E141" s="51">
        <v>450</v>
      </c>
      <c r="F141" s="27">
        <v>2</v>
      </c>
      <c r="G141" s="41">
        <f>InventoryList[[#This Row],[NLC (NET LANDING COST]]*InventoryList[[#This Row],[Quantity in stock]]</f>
        <v>460</v>
      </c>
      <c r="H141" s="62"/>
      <c r="I141" s="22"/>
    </row>
    <row r="142" spans="1:10" ht="30" customHeight="1">
      <c r="A142" s="25">
        <v>130</v>
      </c>
      <c r="B142" s="26" t="s">
        <v>184</v>
      </c>
      <c r="C142" s="26" t="s">
        <v>632</v>
      </c>
      <c r="D142" s="130">
        <v>230</v>
      </c>
      <c r="E142" s="51">
        <v>450</v>
      </c>
      <c r="F142" s="27">
        <v>2</v>
      </c>
      <c r="G142" s="41">
        <f>InventoryList[[#This Row],[NLC (NET LANDING COST]]*InventoryList[[#This Row],[Quantity in stock]]</f>
        <v>460</v>
      </c>
      <c r="H142" s="62"/>
      <c r="I142" s="22"/>
    </row>
    <row r="143" spans="1:10" ht="30" customHeight="1">
      <c r="A143" s="25">
        <v>131</v>
      </c>
      <c r="B143" s="26" t="s">
        <v>185</v>
      </c>
      <c r="C143" s="26" t="s">
        <v>633</v>
      </c>
      <c r="D143" s="130">
        <v>230</v>
      </c>
      <c r="E143" s="51">
        <v>450</v>
      </c>
      <c r="F143" s="27">
        <v>1</v>
      </c>
      <c r="G143" s="41">
        <f>InventoryList[[#This Row],[NLC (NET LANDING COST]]*InventoryList[[#This Row],[Quantity in stock]]</f>
        <v>230</v>
      </c>
      <c r="H143" s="62"/>
      <c r="I143" s="22"/>
    </row>
    <row r="144" spans="1:10" ht="30" customHeight="1">
      <c r="A144" s="25">
        <v>132</v>
      </c>
      <c r="B144" s="26" t="s">
        <v>186</v>
      </c>
      <c r="C144" s="26" t="s">
        <v>330</v>
      </c>
      <c r="D144" s="130">
        <v>250</v>
      </c>
      <c r="E144" s="51">
        <v>450</v>
      </c>
      <c r="F144" s="27">
        <v>1</v>
      </c>
      <c r="G144" s="41">
        <f>InventoryList[[#This Row],[NLC (NET LANDING COST]]*InventoryList[[#This Row],[Quantity in stock]]</f>
        <v>250</v>
      </c>
      <c r="H144" s="62"/>
      <c r="I144" s="22"/>
    </row>
    <row r="145" spans="1:9" ht="30" customHeight="1">
      <c r="A145" s="25">
        <v>133</v>
      </c>
      <c r="B145" s="26" t="s">
        <v>187</v>
      </c>
      <c r="C145" s="79" t="s">
        <v>1234</v>
      </c>
      <c r="D145" s="130">
        <v>170</v>
      </c>
      <c r="E145" s="51">
        <v>220</v>
      </c>
      <c r="F145" s="27">
        <v>5</v>
      </c>
      <c r="G145" s="41">
        <f>InventoryList[[#This Row],[NLC (NET LANDING COST]]*InventoryList[[#This Row],[Quantity in stock]]</f>
        <v>850</v>
      </c>
      <c r="H145" s="62"/>
      <c r="I145" s="22"/>
    </row>
    <row r="146" spans="1:9" ht="30" customHeight="1">
      <c r="A146" s="25">
        <v>134</v>
      </c>
      <c r="B146" s="26" t="s">
        <v>188</v>
      </c>
      <c r="C146" s="26" t="s">
        <v>331</v>
      </c>
      <c r="D146" s="130">
        <v>60</v>
      </c>
      <c r="E146" s="51">
        <v>150</v>
      </c>
      <c r="F146" s="27">
        <v>5</v>
      </c>
      <c r="G146" s="41">
        <f>InventoryList[[#This Row],[NLC (NET LANDING COST]]*InventoryList[[#This Row],[Quantity in stock]]</f>
        <v>300</v>
      </c>
      <c r="H146" s="62"/>
      <c r="I146" s="22"/>
    </row>
    <row r="147" spans="1:9" ht="30" customHeight="1">
      <c r="A147" s="25">
        <v>135</v>
      </c>
      <c r="B147" s="26" t="s">
        <v>189</v>
      </c>
      <c r="C147" s="26" t="s">
        <v>332</v>
      </c>
      <c r="D147" s="130">
        <v>50</v>
      </c>
      <c r="E147" s="51">
        <v>120</v>
      </c>
      <c r="F147" s="27">
        <v>6</v>
      </c>
      <c r="G147" s="41">
        <f>InventoryList[[#This Row],[NLC (NET LANDING COST]]*InventoryList[[#This Row],[Quantity in stock]]</f>
        <v>300</v>
      </c>
      <c r="H147" s="62"/>
      <c r="I147" s="22"/>
    </row>
    <row r="148" spans="1:9" ht="30" customHeight="1">
      <c r="A148" s="25">
        <v>136</v>
      </c>
      <c r="B148" s="26" t="s">
        <v>190</v>
      </c>
      <c r="C148" s="26" t="s">
        <v>333</v>
      </c>
      <c r="D148" s="130">
        <v>100</v>
      </c>
      <c r="E148" s="51">
        <v>200</v>
      </c>
      <c r="F148" s="27">
        <v>6</v>
      </c>
      <c r="G148" s="41">
        <f>InventoryList[[#This Row],[NLC (NET LANDING COST]]*InventoryList[[#This Row],[Quantity in stock]]</f>
        <v>600</v>
      </c>
      <c r="H148" s="62"/>
      <c r="I148" s="22"/>
    </row>
    <row r="149" spans="1:9" ht="30" customHeight="1">
      <c r="A149" s="25">
        <v>137</v>
      </c>
      <c r="B149" s="26" t="s">
        <v>191</v>
      </c>
      <c r="C149" s="26" t="s">
        <v>334</v>
      </c>
      <c r="D149" s="130">
        <v>90</v>
      </c>
      <c r="E149" s="51">
        <v>250</v>
      </c>
      <c r="F149" s="27">
        <v>6</v>
      </c>
      <c r="G149" s="41">
        <f>InventoryList[[#This Row],[NLC (NET LANDING COST]]*InventoryList[[#This Row],[Quantity in stock]]</f>
        <v>540</v>
      </c>
      <c r="H149" s="62"/>
      <c r="I149" s="22"/>
    </row>
    <row r="150" spans="1:9" ht="30" customHeight="1">
      <c r="A150" s="25">
        <v>138</v>
      </c>
      <c r="B150" s="26" t="s">
        <v>192</v>
      </c>
      <c r="C150" s="26" t="s">
        <v>335</v>
      </c>
      <c r="D150" s="130">
        <v>140</v>
      </c>
      <c r="E150" s="51">
        <v>250</v>
      </c>
      <c r="F150" s="27">
        <v>4</v>
      </c>
      <c r="G150" s="41">
        <f>InventoryList[[#This Row],[NLC (NET LANDING COST]]*InventoryList[[#This Row],[Quantity in stock]]</f>
        <v>560</v>
      </c>
      <c r="H150" s="62"/>
      <c r="I150" s="22"/>
    </row>
    <row r="151" spans="1:9" ht="30" customHeight="1">
      <c r="A151" s="25">
        <v>139</v>
      </c>
      <c r="B151" s="26" t="s">
        <v>193</v>
      </c>
      <c r="C151" s="26" t="s">
        <v>634</v>
      </c>
      <c r="D151" s="130">
        <v>90</v>
      </c>
      <c r="E151" s="51">
        <v>200</v>
      </c>
      <c r="F151" s="27">
        <v>2</v>
      </c>
      <c r="G151" s="41">
        <f>InventoryList[[#This Row],[NLC (NET LANDING COST]]*InventoryList[[#This Row],[Quantity in stock]]</f>
        <v>180</v>
      </c>
      <c r="H151" s="62"/>
      <c r="I151" s="22"/>
    </row>
    <row r="152" spans="1:9" ht="30" customHeight="1">
      <c r="A152" s="25">
        <v>140</v>
      </c>
      <c r="B152" s="26" t="s">
        <v>194</v>
      </c>
      <c r="C152" s="26" t="s">
        <v>336</v>
      </c>
      <c r="D152" s="130">
        <v>90</v>
      </c>
      <c r="E152" s="51">
        <v>200</v>
      </c>
      <c r="F152" s="27">
        <v>5</v>
      </c>
      <c r="G152" s="41">
        <f>InventoryList[[#This Row],[NLC (NET LANDING COST]]*InventoryList[[#This Row],[Quantity in stock]]</f>
        <v>450</v>
      </c>
      <c r="H152" s="62"/>
      <c r="I152" s="22"/>
    </row>
    <row r="153" spans="1:9" s="10" customFormat="1" ht="30" customHeight="1">
      <c r="A153" s="28" t="s">
        <v>51</v>
      </c>
      <c r="B153" s="29">
        <v>3218</v>
      </c>
      <c r="C153" s="29"/>
      <c r="D153" s="130" t="s">
        <v>120</v>
      </c>
      <c r="E153" s="43"/>
      <c r="F153" s="30"/>
      <c r="G153" s="43"/>
      <c r="H153" s="63">
        <v>11140</v>
      </c>
    </row>
    <row r="154" spans="1:9" ht="30" customHeight="1">
      <c r="A154" s="25">
        <v>141</v>
      </c>
      <c r="B154" s="26" t="s">
        <v>195</v>
      </c>
      <c r="C154" s="26" t="s">
        <v>337</v>
      </c>
      <c r="D154" s="130">
        <v>7</v>
      </c>
      <c r="E154" s="51">
        <v>20</v>
      </c>
      <c r="F154" s="27">
        <v>10</v>
      </c>
      <c r="G154" s="41">
        <f>InventoryList[[#This Row],[NLC (NET LANDING COST]]*InventoryList[[#This Row],[Quantity in stock]]</f>
        <v>70</v>
      </c>
      <c r="H154" s="62"/>
      <c r="I154" s="22"/>
    </row>
    <row r="155" spans="1:9" ht="30" customHeight="1">
      <c r="A155" s="25">
        <v>142</v>
      </c>
      <c r="B155" s="26" t="s">
        <v>196</v>
      </c>
      <c r="C155" s="26" t="s">
        <v>338</v>
      </c>
      <c r="D155" s="130">
        <v>390</v>
      </c>
      <c r="E155" s="51">
        <v>500</v>
      </c>
      <c r="F155" s="27">
        <v>3</v>
      </c>
      <c r="G155" s="41">
        <f>InventoryList[[#This Row],[NLC (NET LANDING COST]]*InventoryList[[#This Row],[Quantity in stock]]</f>
        <v>1170</v>
      </c>
      <c r="H155" s="62"/>
      <c r="I155" s="22"/>
    </row>
    <row r="156" spans="1:9" ht="30" customHeight="1">
      <c r="A156" s="25">
        <v>143</v>
      </c>
      <c r="B156" s="26" t="s">
        <v>197</v>
      </c>
      <c r="C156" s="79" t="s">
        <v>1233</v>
      </c>
      <c r="D156" s="130">
        <v>320</v>
      </c>
      <c r="E156" s="51">
        <v>400</v>
      </c>
      <c r="F156" s="27">
        <v>3</v>
      </c>
      <c r="G156" s="41">
        <f>InventoryList[[#This Row],[NLC (NET LANDING COST]]*InventoryList[[#This Row],[Quantity in stock]]</f>
        <v>960</v>
      </c>
      <c r="H156" s="62"/>
      <c r="I156" s="22"/>
    </row>
    <row r="157" spans="1:9" ht="30" customHeight="1">
      <c r="A157" s="25">
        <v>144</v>
      </c>
      <c r="B157" s="26" t="s">
        <v>198</v>
      </c>
      <c r="C157" s="26" t="s">
        <v>715</v>
      </c>
      <c r="D157" s="130">
        <v>450</v>
      </c>
      <c r="E157" s="51">
        <v>600</v>
      </c>
      <c r="F157" s="27">
        <v>2</v>
      </c>
      <c r="G157" s="41">
        <f>InventoryList[[#This Row],[NLC (NET LANDING COST]]*InventoryList[[#This Row],[Quantity in stock]]</f>
        <v>900</v>
      </c>
      <c r="H157" s="62"/>
      <c r="I157" s="22"/>
    </row>
    <row r="158" spans="1:9" ht="30" customHeight="1">
      <c r="A158" s="25">
        <v>145</v>
      </c>
      <c r="B158" s="26" t="s">
        <v>199</v>
      </c>
      <c r="C158" s="26" t="s">
        <v>339</v>
      </c>
      <c r="D158" s="130">
        <v>22</v>
      </c>
      <c r="E158" s="51">
        <v>30</v>
      </c>
      <c r="F158" s="27">
        <v>50</v>
      </c>
      <c r="G158" s="41">
        <f>InventoryList[[#This Row],[NLC (NET LANDING COST]]*InventoryList[[#This Row],[Quantity in stock]]</f>
        <v>1100</v>
      </c>
      <c r="H158" s="62"/>
      <c r="I158" s="22"/>
    </row>
    <row r="159" spans="1:9" ht="30" customHeight="1">
      <c r="A159" s="25">
        <v>146</v>
      </c>
      <c r="B159" s="26" t="s">
        <v>200</v>
      </c>
      <c r="C159" s="26" t="s">
        <v>340</v>
      </c>
      <c r="D159" s="130">
        <v>460</v>
      </c>
      <c r="E159" s="51">
        <v>650</v>
      </c>
      <c r="F159" s="27">
        <v>3</v>
      </c>
      <c r="G159" s="41">
        <f>InventoryList[[#This Row],[NLC (NET LANDING COST]]*InventoryList[[#This Row],[Quantity in stock]]</f>
        <v>1380</v>
      </c>
      <c r="H159" s="62"/>
      <c r="I159" s="22"/>
    </row>
    <row r="160" spans="1:9" ht="30" customHeight="1">
      <c r="A160" s="25">
        <v>147</v>
      </c>
      <c r="B160" s="26" t="s">
        <v>201</v>
      </c>
      <c r="C160" s="26" t="s">
        <v>341</v>
      </c>
      <c r="D160" s="130">
        <v>340</v>
      </c>
      <c r="E160" s="51">
        <v>550</v>
      </c>
      <c r="F160" s="27">
        <v>3</v>
      </c>
      <c r="G160" s="41">
        <f>InventoryList[[#This Row],[NLC (NET LANDING COST]]*InventoryList[[#This Row],[Quantity in stock]]</f>
        <v>1020</v>
      </c>
      <c r="H160" s="62"/>
      <c r="I160" s="22"/>
    </row>
    <row r="161" spans="1:9" ht="30" customHeight="1">
      <c r="A161" s="25">
        <v>148</v>
      </c>
      <c r="B161" s="26" t="s">
        <v>202</v>
      </c>
      <c r="C161" s="26" t="s">
        <v>342</v>
      </c>
      <c r="D161" s="130">
        <v>230</v>
      </c>
      <c r="E161" s="51">
        <v>350</v>
      </c>
      <c r="F161" s="27">
        <v>5</v>
      </c>
      <c r="G161" s="41">
        <f>InventoryList[[#This Row],[NLC (NET LANDING COST]]*InventoryList[[#This Row],[Quantity in stock]]</f>
        <v>1150</v>
      </c>
      <c r="H161" s="62"/>
      <c r="I161" s="22"/>
    </row>
    <row r="162" spans="1:9" ht="30" customHeight="1">
      <c r="A162" s="25">
        <v>149</v>
      </c>
      <c r="B162" s="26" t="s">
        <v>203</v>
      </c>
      <c r="C162" s="26" t="s">
        <v>343</v>
      </c>
      <c r="D162" s="130">
        <v>180</v>
      </c>
      <c r="E162" s="51">
        <v>350</v>
      </c>
      <c r="F162" s="27">
        <v>5</v>
      </c>
      <c r="G162" s="41">
        <f>InventoryList[[#This Row],[NLC (NET LANDING COST]]*InventoryList[[#This Row],[Quantity in stock]]</f>
        <v>900</v>
      </c>
      <c r="H162" s="62"/>
      <c r="I162" s="22"/>
    </row>
    <row r="163" spans="1:9" ht="30" customHeight="1">
      <c r="A163" s="25">
        <v>150</v>
      </c>
      <c r="B163" s="26" t="s">
        <v>204</v>
      </c>
      <c r="C163" s="26" t="s">
        <v>344</v>
      </c>
      <c r="D163" s="130">
        <v>330</v>
      </c>
      <c r="E163" s="51">
        <v>500</v>
      </c>
      <c r="F163" s="27">
        <v>3</v>
      </c>
      <c r="G163" s="41">
        <f>InventoryList[[#This Row],[NLC (NET LANDING COST]]*InventoryList[[#This Row],[Quantity in stock]]</f>
        <v>990</v>
      </c>
      <c r="H163" s="62"/>
      <c r="I163" s="22"/>
    </row>
    <row r="164" spans="1:9" ht="30" customHeight="1">
      <c r="A164" s="25">
        <v>151</v>
      </c>
      <c r="B164" s="26" t="s">
        <v>205</v>
      </c>
      <c r="C164" s="26" t="s">
        <v>345</v>
      </c>
      <c r="D164" s="130">
        <v>280</v>
      </c>
      <c r="E164" s="51">
        <v>450</v>
      </c>
      <c r="F164" s="27">
        <v>3</v>
      </c>
      <c r="G164" s="41">
        <f>InventoryList[[#This Row],[NLC (NET LANDING COST]]*InventoryList[[#This Row],[Quantity in stock]]</f>
        <v>840</v>
      </c>
      <c r="H164" s="62"/>
      <c r="I164" s="22"/>
    </row>
    <row r="165" spans="1:9" ht="30" customHeight="1">
      <c r="A165" s="25">
        <v>152</v>
      </c>
      <c r="B165" s="26" t="s">
        <v>206</v>
      </c>
      <c r="C165" s="26" t="s">
        <v>346</v>
      </c>
      <c r="D165" s="130">
        <v>280</v>
      </c>
      <c r="E165" s="51">
        <v>350</v>
      </c>
      <c r="F165" s="27">
        <v>3</v>
      </c>
      <c r="G165" s="41">
        <f>InventoryList[[#This Row],[NLC (NET LANDING COST]]*InventoryList[[#This Row],[Quantity in stock]]</f>
        <v>840</v>
      </c>
      <c r="H165" s="62"/>
      <c r="I165" s="22"/>
    </row>
    <row r="166" spans="1:9" ht="30" customHeight="1">
      <c r="A166" s="25">
        <v>153</v>
      </c>
      <c r="B166" s="26" t="s">
        <v>207</v>
      </c>
      <c r="C166" s="26" t="s">
        <v>347</v>
      </c>
      <c r="D166" s="130">
        <v>720</v>
      </c>
      <c r="E166" s="51">
        <v>920</v>
      </c>
      <c r="F166" s="27">
        <v>2</v>
      </c>
      <c r="G166" s="41">
        <f>InventoryList[[#This Row],[NLC (NET LANDING COST]]*InventoryList[[#This Row],[Quantity in stock]]</f>
        <v>1440</v>
      </c>
      <c r="H166" s="62"/>
      <c r="I166" s="22"/>
    </row>
    <row r="167" spans="1:9" ht="30" customHeight="1">
      <c r="A167" s="25">
        <v>154</v>
      </c>
      <c r="B167" s="26" t="s">
        <v>208</v>
      </c>
      <c r="C167" s="79" t="s">
        <v>1232</v>
      </c>
      <c r="D167" s="130">
        <v>600</v>
      </c>
      <c r="E167" s="51">
        <v>750</v>
      </c>
      <c r="F167" s="27">
        <v>2</v>
      </c>
      <c r="G167" s="41">
        <f>InventoryList[[#This Row],[NLC (NET LANDING COST]]*InventoryList[[#This Row],[Quantity in stock]]</f>
        <v>1200</v>
      </c>
      <c r="H167" s="62"/>
      <c r="I167" s="22"/>
    </row>
    <row r="168" spans="1:9" ht="30" customHeight="1">
      <c r="A168" s="25">
        <v>155</v>
      </c>
      <c r="B168" s="26" t="s">
        <v>209</v>
      </c>
      <c r="C168" s="26" t="s">
        <v>716</v>
      </c>
      <c r="D168" s="130">
        <v>800</v>
      </c>
      <c r="E168" s="51">
        <v>1000</v>
      </c>
      <c r="F168" s="27">
        <v>2</v>
      </c>
      <c r="G168" s="41">
        <f>InventoryList[[#This Row],[NLC (NET LANDING COST]]*InventoryList[[#This Row],[Quantity in stock]]</f>
        <v>1600</v>
      </c>
      <c r="H168" s="62"/>
      <c r="I168" s="22"/>
    </row>
    <row r="169" spans="1:9" ht="30" customHeight="1">
      <c r="A169" s="25">
        <v>156</v>
      </c>
      <c r="B169" s="26" t="s">
        <v>210</v>
      </c>
      <c r="C169" s="26" t="s">
        <v>348</v>
      </c>
      <c r="D169" s="130">
        <v>70</v>
      </c>
      <c r="E169" s="51">
        <v>120</v>
      </c>
      <c r="F169" s="27">
        <v>5</v>
      </c>
      <c r="G169" s="41">
        <f>InventoryList[[#This Row],[NLC (NET LANDING COST]]*InventoryList[[#This Row],[Quantity in stock]]</f>
        <v>350</v>
      </c>
      <c r="H169" s="62"/>
      <c r="I169" s="22"/>
    </row>
    <row r="170" spans="1:9" ht="30" customHeight="1">
      <c r="A170" s="25">
        <v>157</v>
      </c>
      <c r="B170" s="26" t="s">
        <v>211</v>
      </c>
      <c r="C170" s="26" t="s">
        <v>349</v>
      </c>
      <c r="D170" s="130">
        <v>70</v>
      </c>
      <c r="E170" s="51">
        <v>120</v>
      </c>
      <c r="F170" s="27">
        <v>5</v>
      </c>
      <c r="G170" s="41">
        <f>InventoryList[[#This Row],[NLC (NET LANDING COST]]*InventoryList[[#This Row],[Quantity in stock]]</f>
        <v>350</v>
      </c>
      <c r="H170" s="62"/>
      <c r="I170" s="22"/>
    </row>
    <row r="171" spans="1:9" ht="30" customHeight="1">
      <c r="A171" s="25">
        <v>158</v>
      </c>
      <c r="B171" s="26" t="s">
        <v>212</v>
      </c>
      <c r="C171" s="26" t="s">
        <v>350</v>
      </c>
      <c r="D171" s="130">
        <v>70</v>
      </c>
      <c r="E171" s="51">
        <v>120</v>
      </c>
      <c r="F171" s="27">
        <v>5</v>
      </c>
      <c r="G171" s="41">
        <f>InventoryList[[#This Row],[NLC (NET LANDING COST]]*InventoryList[[#This Row],[Quantity in stock]]</f>
        <v>350</v>
      </c>
      <c r="H171" s="62"/>
      <c r="I171" s="22"/>
    </row>
    <row r="172" spans="1:9" ht="30" customHeight="1">
      <c r="A172" s="25">
        <v>159</v>
      </c>
      <c r="B172" s="26" t="s">
        <v>213</v>
      </c>
      <c r="C172" s="79" t="s">
        <v>351</v>
      </c>
      <c r="D172" s="130">
        <v>70</v>
      </c>
      <c r="E172" s="51">
        <v>120</v>
      </c>
      <c r="F172" s="27">
        <v>5</v>
      </c>
      <c r="G172" s="41">
        <f>InventoryList[[#This Row],[NLC (NET LANDING COST]]*InventoryList[[#This Row],[Quantity in stock]]</f>
        <v>350</v>
      </c>
      <c r="H172" s="62"/>
      <c r="I172" s="22"/>
    </row>
    <row r="173" spans="1:9" ht="30" customHeight="1">
      <c r="A173" s="25">
        <v>160</v>
      </c>
      <c r="B173" s="26" t="s">
        <v>214</v>
      </c>
      <c r="C173" s="79" t="s">
        <v>635</v>
      </c>
      <c r="D173" s="130">
        <v>200</v>
      </c>
      <c r="E173" s="51">
        <v>300</v>
      </c>
      <c r="F173" s="27">
        <v>10</v>
      </c>
      <c r="G173" s="41">
        <f>InventoryList[[#This Row],[NLC (NET LANDING COST]]*InventoryList[[#This Row],[Quantity in stock]]</f>
        <v>2000</v>
      </c>
      <c r="H173" s="62"/>
      <c r="I173" s="22"/>
    </row>
    <row r="174" spans="1:9" s="10" customFormat="1" ht="30" customHeight="1">
      <c r="A174" s="28" t="s">
        <v>51</v>
      </c>
      <c r="B174" s="29">
        <v>3217</v>
      </c>
      <c r="C174" s="29"/>
      <c r="D174" s="130" t="s">
        <v>120</v>
      </c>
      <c r="E174" s="43"/>
      <c r="F174" s="30"/>
      <c r="G174" s="43"/>
      <c r="H174" s="63">
        <v>18960</v>
      </c>
    </row>
    <row r="175" spans="1:9" ht="30" customHeight="1">
      <c r="A175" s="25">
        <v>161</v>
      </c>
      <c r="B175" s="26" t="s">
        <v>215</v>
      </c>
      <c r="C175" s="26" t="s">
        <v>636</v>
      </c>
      <c r="D175" s="130">
        <v>130</v>
      </c>
      <c r="E175" s="51">
        <v>200</v>
      </c>
      <c r="F175" s="27">
        <v>5</v>
      </c>
      <c r="G175" s="41">
        <f>InventoryList[[#This Row],[NLC (NET LANDING COST]]*InventoryList[[#This Row],[Quantity in stock]]</f>
        <v>650</v>
      </c>
      <c r="H175" s="62"/>
      <c r="I175" s="22"/>
    </row>
    <row r="176" spans="1:9" ht="30" customHeight="1">
      <c r="A176" s="25">
        <v>162</v>
      </c>
      <c r="B176" s="26" t="s">
        <v>216</v>
      </c>
      <c r="C176" s="26" t="s">
        <v>352</v>
      </c>
      <c r="D176" s="130">
        <v>100</v>
      </c>
      <c r="E176" s="51">
        <v>200</v>
      </c>
      <c r="F176" s="27">
        <v>5</v>
      </c>
      <c r="G176" s="41">
        <f>InventoryList[[#This Row],[NLC (NET LANDING COST]]*InventoryList[[#This Row],[Quantity in stock]]</f>
        <v>500</v>
      </c>
      <c r="H176" s="62"/>
      <c r="I176" s="22"/>
    </row>
    <row r="177" spans="1:9" ht="30" customHeight="1">
      <c r="A177" s="25">
        <v>163</v>
      </c>
      <c r="B177" s="26" t="s">
        <v>217</v>
      </c>
      <c r="C177" s="26" t="s">
        <v>353</v>
      </c>
      <c r="D177" s="130">
        <v>190</v>
      </c>
      <c r="E177" s="51">
        <v>300</v>
      </c>
      <c r="F177" s="27">
        <v>5</v>
      </c>
      <c r="G177" s="41">
        <f>InventoryList[[#This Row],[NLC (NET LANDING COST]]*InventoryList[[#This Row],[Quantity in stock]]</f>
        <v>950</v>
      </c>
      <c r="H177" s="62"/>
      <c r="I177" s="22"/>
    </row>
    <row r="178" spans="1:9" ht="30" customHeight="1">
      <c r="A178" s="25">
        <v>164</v>
      </c>
      <c r="B178" s="26" t="s">
        <v>218</v>
      </c>
      <c r="C178" s="26" t="s">
        <v>354</v>
      </c>
      <c r="D178" s="130">
        <v>220</v>
      </c>
      <c r="E178" s="51">
        <v>350</v>
      </c>
      <c r="F178" s="27">
        <v>5</v>
      </c>
      <c r="G178" s="41">
        <f>InventoryList[[#This Row],[NLC (NET LANDING COST]]*InventoryList[[#This Row],[Quantity in stock]]</f>
        <v>1100</v>
      </c>
      <c r="H178" s="62"/>
      <c r="I178" s="22"/>
    </row>
    <row r="179" spans="1:9" ht="30" customHeight="1">
      <c r="A179" s="25">
        <v>165</v>
      </c>
      <c r="B179" s="26" t="s">
        <v>219</v>
      </c>
      <c r="C179" s="26" t="s">
        <v>355</v>
      </c>
      <c r="D179" s="130">
        <v>40</v>
      </c>
      <c r="E179" s="51">
        <v>100</v>
      </c>
      <c r="F179" s="27">
        <v>5</v>
      </c>
      <c r="G179" s="41">
        <f>InventoryList[[#This Row],[NLC (NET LANDING COST]]*InventoryList[[#This Row],[Quantity in stock]]</f>
        <v>200</v>
      </c>
      <c r="H179" s="62"/>
      <c r="I179" s="22"/>
    </row>
    <row r="180" spans="1:9" ht="30" customHeight="1">
      <c r="A180" s="25">
        <v>166</v>
      </c>
      <c r="B180" s="26" t="s">
        <v>220</v>
      </c>
      <c r="C180" s="26" t="s">
        <v>637</v>
      </c>
      <c r="D180" s="130">
        <v>230</v>
      </c>
      <c r="E180" s="51">
        <v>450</v>
      </c>
      <c r="F180" s="27">
        <v>2</v>
      </c>
      <c r="G180" s="41">
        <f>InventoryList[[#This Row],[NLC (NET LANDING COST]]*InventoryList[[#This Row],[Quantity in stock]]</f>
        <v>460</v>
      </c>
      <c r="H180" s="62"/>
      <c r="I180" s="22"/>
    </row>
    <row r="181" spans="1:9" ht="30" customHeight="1">
      <c r="A181" s="25">
        <v>167</v>
      </c>
      <c r="B181" s="26" t="s">
        <v>221</v>
      </c>
      <c r="C181" s="26" t="s">
        <v>638</v>
      </c>
      <c r="D181" s="130">
        <v>280</v>
      </c>
      <c r="E181" s="51">
        <v>450</v>
      </c>
      <c r="F181" s="27">
        <v>2</v>
      </c>
      <c r="G181" s="41">
        <f>InventoryList[[#This Row],[NLC (NET LANDING COST]]*InventoryList[[#This Row],[Quantity in stock]]</f>
        <v>560</v>
      </c>
      <c r="H181" s="62"/>
      <c r="I181" s="22"/>
    </row>
    <row r="182" spans="1:9" ht="30" customHeight="1">
      <c r="A182" s="25">
        <v>168</v>
      </c>
      <c r="B182" s="26" t="s">
        <v>222</v>
      </c>
      <c r="C182" s="26" t="s">
        <v>639</v>
      </c>
      <c r="D182" s="130">
        <v>230</v>
      </c>
      <c r="E182" s="51">
        <v>450</v>
      </c>
      <c r="F182" s="27">
        <v>2</v>
      </c>
      <c r="G182" s="41">
        <f>InventoryList[[#This Row],[NLC (NET LANDING COST]]*InventoryList[[#This Row],[Quantity in stock]]</f>
        <v>460</v>
      </c>
      <c r="H182" s="62"/>
      <c r="I182" s="22"/>
    </row>
    <row r="183" spans="1:9" ht="30" customHeight="1">
      <c r="A183" s="25">
        <v>169</v>
      </c>
      <c r="B183" s="26" t="s">
        <v>223</v>
      </c>
      <c r="C183" s="26" t="s">
        <v>356</v>
      </c>
      <c r="D183" s="130">
        <v>60</v>
      </c>
      <c r="E183" s="51">
        <v>150</v>
      </c>
      <c r="F183" s="27">
        <v>5</v>
      </c>
      <c r="G183" s="41">
        <f>InventoryList[[#This Row],[NLC (NET LANDING COST]]*InventoryList[[#This Row],[Quantity in stock]]</f>
        <v>300</v>
      </c>
      <c r="H183" s="62"/>
      <c r="I183" s="22"/>
    </row>
    <row r="184" spans="1:9" ht="30" customHeight="1">
      <c r="A184" s="25">
        <v>170</v>
      </c>
      <c r="B184" s="26" t="s">
        <v>224</v>
      </c>
      <c r="C184" s="26" t="s">
        <v>357</v>
      </c>
      <c r="D184" s="130">
        <v>75</v>
      </c>
      <c r="E184" s="51">
        <v>150</v>
      </c>
      <c r="F184" s="27">
        <v>2</v>
      </c>
      <c r="G184" s="41">
        <f>InventoryList[[#This Row],[NLC (NET LANDING COST]]*InventoryList[[#This Row],[Quantity in stock]]</f>
        <v>150</v>
      </c>
      <c r="H184" s="62"/>
      <c r="I184" s="22"/>
    </row>
    <row r="185" spans="1:9" ht="30" customHeight="1">
      <c r="A185" s="25">
        <v>171</v>
      </c>
      <c r="B185" s="26" t="s">
        <v>225</v>
      </c>
      <c r="C185" s="26" t="s">
        <v>640</v>
      </c>
      <c r="D185" s="130">
        <v>16</v>
      </c>
      <c r="E185" s="51">
        <v>40</v>
      </c>
      <c r="F185" s="27">
        <v>50</v>
      </c>
      <c r="G185" s="41">
        <f>InventoryList[[#This Row],[NLC (NET LANDING COST]]*InventoryList[[#This Row],[Quantity in stock]]</f>
        <v>800</v>
      </c>
      <c r="H185" s="62"/>
      <c r="I185" s="22"/>
    </row>
    <row r="186" spans="1:9" ht="30" customHeight="1">
      <c r="A186" s="25">
        <v>172</v>
      </c>
      <c r="B186" s="26" t="s">
        <v>226</v>
      </c>
      <c r="C186" s="26" t="s">
        <v>641</v>
      </c>
      <c r="D186" s="130">
        <v>32</v>
      </c>
      <c r="E186" s="51">
        <v>70</v>
      </c>
      <c r="F186" s="27">
        <v>20</v>
      </c>
      <c r="G186" s="41">
        <f>InventoryList[[#This Row],[NLC (NET LANDING COST]]*InventoryList[[#This Row],[Quantity in stock]]</f>
        <v>640</v>
      </c>
      <c r="H186" s="62"/>
      <c r="I186" s="22"/>
    </row>
    <row r="187" spans="1:9" ht="30" customHeight="1">
      <c r="A187" s="25">
        <v>173</v>
      </c>
      <c r="B187" s="26" t="s">
        <v>227</v>
      </c>
      <c r="C187" s="26" t="s">
        <v>642</v>
      </c>
      <c r="D187" s="130">
        <v>20</v>
      </c>
      <c r="E187" s="51">
        <v>50</v>
      </c>
      <c r="F187" s="27">
        <v>50</v>
      </c>
      <c r="G187" s="41">
        <f>InventoryList[[#This Row],[NLC (NET LANDING COST]]*InventoryList[[#This Row],[Quantity in stock]]</f>
        <v>1000</v>
      </c>
      <c r="H187" s="62"/>
      <c r="I187" s="22"/>
    </row>
    <row r="188" spans="1:9" ht="30" customHeight="1">
      <c r="A188" s="25">
        <v>174</v>
      </c>
      <c r="B188" s="26" t="s">
        <v>228</v>
      </c>
      <c r="C188" s="79" t="s">
        <v>643</v>
      </c>
      <c r="D188" s="130">
        <v>60</v>
      </c>
      <c r="E188" s="51">
        <v>100</v>
      </c>
      <c r="F188" s="27">
        <v>10</v>
      </c>
      <c r="G188" s="41">
        <f>InventoryList[[#This Row],[NLC (NET LANDING COST]]*InventoryList[[#This Row],[Quantity in stock]]</f>
        <v>600</v>
      </c>
      <c r="H188" s="62"/>
      <c r="I188" s="22"/>
    </row>
    <row r="189" spans="1:9" ht="30" customHeight="1">
      <c r="A189" s="25">
        <v>175</v>
      </c>
      <c r="B189" s="26" t="s">
        <v>229</v>
      </c>
      <c r="C189" s="26" t="s">
        <v>605</v>
      </c>
      <c r="D189" s="130">
        <v>650</v>
      </c>
      <c r="E189" s="51">
        <v>100</v>
      </c>
      <c r="F189" s="27">
        <v>1</v>
      </c>
      <c r="G189" s="41">
        <f>InventoryList[[#This Row],[NLC (NET LANDING COST]]*InventoryList[[#This Row],[Quantity in stock]]</f>
        <v>650</v>
      </c>
      <c r="H189" s="62"/>
      <c r="I189" s="22"/>
    </row>
    <row r="190" spans="1:9" ht="30" customHeight="1">
      <c r="A190" s="25">
        <v>176</v>
      </c>
      <c r="B190" s="26" t="s">
        <v>230</v>
      </c>
      <c r="C190" s="26" t="s">
        <v>606</v>
      </c>
      <c r="D190" s="130">
        <v>680</v>
      </c>
      <c r="E190" s="51">
        <v>110</v>
      </c>
      <c r="F190" s="27">
        <v>1</v>
      </c>
      <c r="G190" s="41">
        <f>InventoryList[[#This Row],[NLC (NET LANDING COST]]*InventoryList[[#This Row],[Quantity in stock]]</f>
        <v>680</v>
      </c>
      <c r="H190" s="62"/>
      <c r="I190" s="22"/>
    </row>
    <row r="191" spans="1:9" ht="30" customHeight="1">
      <c r="A191" s="25">
        <v>177</v>
      </c>
      <c r="B191" s="26" t="s">
        <v>231</v>
      </c>
      <c r="C191" s="26" t="s">
        <v>358</v>
      </c>
      <c r="D191" s="130">
        <v>60</v>
      </c>
      <c r="E191" s="51">
        <v>75</v>
      </c>
      <c r="F191" s="27">
        <v>10</v>
      </c>
      <c r="G191" s="41">
        <f>InventoryList[[#This Row],[NLC (NET LANDING COST]]*InventoryList[[#This Row],[Quantity in stock]]</f>
        <v>600</v>
      </c>
      <c r="H191" s="62"/>
      <c r="I191" s="22"/>
    </row>
    <row r="192" spans="1:9" ht="30" customHeight="1">
      <c r="A192" s="25">
        <v>178</v>
      </c>
      <c r="B192" s="26" t="s">
        <v>232</v>
      </c>
      <c r="C192" s="26" t="s">
        <v>712</v>
      </c>
      <c r="D192" s="130">
        <v>330</v>
      </c>
      <c r="E192" s="51">
        <v>550</v>
      </c>
      <c r="F192" s="27">
        <v>2</v>
      </c>
      <c r="G192" s="41">
        <f>InventoryList[[#This Row],[NLC (NET LANDING COST]]*InventoryList[[#This Row],[Quantity in stock]]</f>
        <v>660</v>
      </c>
      <c r="H192" s="62"/>
      <c r="I192" s="22"/>
    </row>
    <row r="193" spans="1:9" ht="30" customHeight="1">
      <c r="A193" s="25">
        <v>179</v>
      </c>
      <c r="B193" s="26" t="s">
        <v>233</v>
      </c>
      <c r="C193" s="26" t="s">
        <v>711</v>
      </c>
      <c r="D193" s="130">
        <v>160</v>
      </c>
      <c r="E193" s="51">
        <v>300</v>
      </c>
      <c r="F193" s="27">
        <v>3</v>
      </c>
      <c r="G193" s="41">
        <f>InventoryList[[#This Row],[NLC (NET LANDING COST]]*InventoryList[[#This Row],[Quantity in stock]]</f>
        <v>480</v>
      </c>
      <c r="H193" s="62"/>
      <c r="I193" s="22"/>
    </row>
    <row r="194" spans="1:9" s="12" customFormat="1" ht="30" customHeight="1">
      <c r="A194" s="25">
        <v>180</v>
      </c>
      <c r="B194" s="26" t="s">
        <v>234</v>
      </c>
      <c r="C194" s="26" t="s">
        <v>359</v>
      </c>
      <c r="D194" s="130">
        <v>52</v>
      </c>
      <c r="E194" s="51">
        <v>65</v>
      </c>
      <c r="F194" s="27">
        <v>50</v>
      </c>
      <c r="G194" s="41">
        <f>InventoryList[[#This Row],[NLC (NET LANDING COST]]*InventoryList[[#This Row],[Quantity in stock]]</f>
        <v>2600</v>
      </c>
      <c r="H194" s="65"/>
      <c r="I194" s="10"/>
    </row>
    <row r="195" spans="1:9" s="10" customFormat="1" ht="30" customHeight="1">
      <c r="A195" s="28" t="s">
        <v>51</v>
      </c>
      <c r="B195" s="29">
        <v>3216</v>
      </c>
      <c r="C195" s="29"/>
      <c r="D195" s="130" t="s">
        <v>120</v>
      </c>
      <c r="E195" s="43"/>
      <c r="F195" s="30"/>
      <c r="G195" s="43"/>
      <c r="H195" s="63">
        <v>14040</v>
      </c>
    </row>
    <row r="196" spans="1:9" ht="30" customHeight="1">
      <c r="A196" s="25">
        <v>181</v>
      </c>
      <c r="B196" s="26" t="s">
        <v>235</v>
      </c>
      <c r="C196" s="26" t="s">
        <v>644</v>
      </c>
      <c r="D196" s="130">
        <v>130</v>
      </c>
      <c r="E196" s="51">
        <v>200</v>
      </c>
      <c r="F196" s="27">
        <v>5</v>
      </c>
      <c r="G196" s="41">
        <f>InventoryList[[#This Row],[NLC (NET LANDING COST]]*InventoryList[[#This Row],[Quantity in stock]]</f>
        <v>650</v>
      </c>
      <c r="H196" s="62"/>
      <c r="I196" s="22"/>
    </row>
    <row r="197" spans="1:9" ht="30" customHeight="1">
      <c r="A197" s="25">
        <v>182</v>
      </c>
      <c r="B197" s="26" t="s">
        <v>236</v>
      </c>
      <c r="C197" s="26" t="s">
        <v>645</v>
      </c>
      <c r="D197" s="130">
        <v>190</v>
      </c>
      <c r="E197" s="51">
        <v>300</v>
      </c>
      <c r="F197" s="27">
        <v>3</v>
      </c>
      <c r="G197" s="41">
        <f>InventoryList[[#This Row],[NLC (NET LANDING COST]]*InventoryList[[#This Row],[Quantity in stock]]</f>
        <v>570</v>
      </c>
      <c r="H197" s="62"/>
      <c r="I197" s="22"/>
    </row>
    <row r="198" spans="1:9" ht="30" customHeight="1">
      <c r="A198" s="25">
        <v>183</v>
      </c>
      <c r="B198" s="26" t="s">
        <v>237</v>
      </c>
      <c r="C198" s="26" t="s">
        <v>596</v>
      </c>
      <c r="D198" s="130">
        <v>200</v>
      </c>
      <c r="E198" s="51">
        <v>300</v>
      </c>
      <c r="F198" s="27">
        <v>3</v>
      </c>
      <c r="G198" s="41">
        <f>InventoryList[[#This Row],[NLC (NET LANDING COST]]*InventoryList[[#This Row],[Quantity in stock]]</f>
        <v>600</v>
      </c>
      <c r="H198" s="62"/>
      <c r="I198" s="22"/>
    </row>
    <row r="199" spans="1:9" ht="30" customHeight="1">
      <c r="A199" s="25">
        <v>184</v>
      </c>
      <c r="B199" s="26" t="s">
        <v>238</v>
      </c>
      <c r="C199" s="26" t="s">
        <v>595</v>
      </c>
      <c r="D199" s="130">
        <v>220</v>
      </c>
      <c r="E199" s="51">
        <v>350</v>
      </c>
      <c r="F199" s="27">
        <v>3</v>
      </c>
      <c r="G199" s="41">
        <f>InventoryList[[#This Row],[NLC (NET LANDING COST]]*InventoryList[[#This Row],[Quantity in stock]]</f>
        <v>660</v>
      </c>
      <c r="H199" s="62">
        <v>0</v>
      </c>
      <c r="I199" s="22"/>
    </row>
    <row r="200" spans="1:9" ht="30" customHeight="1">
      <c r="A200" s="25">
        <v>185</v>
      </c>
      <c r="B200" s="26" t="s">
        <v>244</v>
      </c>
      <c r="C200" s="26" t="s">
        <v>594</v>
      </c>
      <c r="D200" s="130">
        <v>240</v>
      </c>
      <c r="E200" s="51">
        <v>350</v>
      </c>
      <c r="F200" s="27">
        <v>2</v>
      </c>
      <c r="G200" s="41">
        <f>InventoryList[[#This Row],[NLC (NET LANDING COST]]*InventoryList[[#This Row],[Quantity in stock]]</f>
        <v>480</v>
      </c>
      <c r="H200" s="62"/>
      <c r="I200" s="22"/>
    </row>
    <row r="201" spans="1:9" ht="30" customHeight="1">
      <c r="A201" s="25">
        <v>186</v>
      </c>
      <c r="B201" s="26" t="s">
        <v>245</v>
      </c>
      <c r="C201" s="26" t="s">
        <v>597</v>
      </c>
      <c r="D201" s="130">
        <v>140</v>
      </c>
      <c r="E201" s="51">
        <v>210</v>
      </c>
      <c r="F201" s="27">
        <v>5</v>
      </c>
      <c r="G201" s="41">
        <f>InventoryList[[#This Row],[NLC (NET LANDING COST]]*InventoryList[[#This Row],[Quantity in stock]]</f>
        <v>700</v>
      </c>
      <c r="H201" s="62"/>
      <c r="I201" s="22"/>
    </row>
    <row r="202" spans="1:9" ht="30" customHeight="1">
      <c r="A202" s="25">
        <v>187</v>
      </c>
      <c r="B202" s="26" t="s">
        <v>246</v>
      </c>
      <c r="C202" s="26" t="s">
        <v>476</v>
      </c>
      <c r="D202" s="130">
        <v>10</v>
      </c>
      <c r="E202" s="51">
        <v>30</v>
      </c>
      <c r="F202" s="27">
        <v>10</v>
      </c>
      <c r="G202" s="41">
        <f>InventoryList[[#This Row],[NLC (NET LANDING COST]]*InventoryList[[#This Row],[Quantity in stock]]</f>
        <v>100</v>
      </c>
      <c r="H202" s="62"/>
      <c r="I202" s="22"/>
    </row>
    <row r="203" spans="1:9" ht="30" customHeight="1">
      <c r="A203" s="25">
        <v>188</v>
      </c>
      <c r="B203" s="26" t="s">
        <v>247</v>
      </c>
      <c r="C203" s="26" t="s">
        <v>475</v>
      </c>
      <c r="D203" s="130">
        <v>15</v>
      </c>
      <c r="E203" s="51">
        <v>40</v>
      </c>
      <c r="F203" s="27">
        <v>10</v>
      </c>
      <c r="G203" s="41">
        <f>InventoryList[[#This Row],[NLC (NET LANDING COST]]*InventoryList[[#This Row],[Quantity in stock]]</f>
        <v>150</v>
      </c>
      <c r="H203" s="62"/>
      <c r="I203" s="22"/>
    </row>
    <row r="204" spans="1:9" ht="30" customHeight="1">
      <c r="A204" s="25">
        <v>189</v>
      </c>
      <c r="B204" s="26" t="s">
        <v>248</v>
      </c>
      <c r="C204" s="79" t="s">
        <v>477</v>
      </c>
      <c r="D204" s="130">
        <v>15</v>
      </c>
      <c r="E204" s="51">
        <v>40</v>
      </c>
      <c r="F204" s="27">
        <v>5</v>
      </c>
      <c r="G204" s="41">
        <f>InventoryList[[#This Row],[NLC (NET LANDING COST]]*InventoryList[[#This Row],[Quantity in stock]]</f>
        <v>75</v>
      </c>
      <c r="H204" s="62"/>
      <c r="I204" s="22"/>
    </row>
    <row r="205" spans="1:9" ht="30" customHeight="1">
      <c r="A205" s="25">
        <v>190</v>
      </c>
      <c r="B205" s="26" t="s">
        <v>249</v>
      </c>
      <c r="C205" s="26" t="s">
        <v>478</v>
      </c>
      <c r="D205" s="130">
        <v>15</v>
      </c>
      <c r="E205" s="51">
        <v>40</v>
      </c>
      <c r="F205" s="27">
        <v>10</v>
      </c>
      <c r="G205" s="41">
        <f>InventoryList[[#This Row],[NLC (NET LANDING COST]]*InventoryList[[#This Row],[Quantity in stock]]</f>
        <v>150</v>
      </c>
      <c r="H205" s="62"/>
      <c r="I205" s="22"/>
    </row>
    <row r="206" spans="1:9" ht="30" customHeight="1">
      <c r="A206" s="25">
        <v>191</v>
      </c>
      <c r="B206" s="26" t="s">
        <v>250</v>
      </c>
      <c r="C206" s="26" t="s">
        <v>479</v>
      </c>
      <c r="D206" s="130">
        <v>20</v>
      </c>
      <c r="E206" s="51">
        <v>50</v>
      </c>
      <c r="F206" s="27">
        <v>10</v>
      </c>
      <c r="G206" s="41">
        <f>InventoryList[[#This Row],[NLC (NET LANDING COST]]*InventoryList[[#This Row],[Quantity in stock]]</f>
        <v>200</v>
      </c>
      <c r="H206" s="62"/>
      <c r="I206" s="22"/>
    </row>
    <row r="207" spans="1:9" ht="30" customHeight="1">
      <c r="A207" s="25">
        <v>192</v>
      </c>
      <c r="B207" s="26" t="s">
        <v>251</v>
      </c>
      <c r="C207" s="26" t="s">
        <v>646</v>
      </c>
      <c r="D207" s="130">
        <v>110</v>
      </c>
      <c r="E207" s="51">
        <v>200</v>
      </c>
      <c r="F207" s="27">
        <v>5</v>
      </c>
      <c r="G207" s="41">
        <f>InventoryList[[#This Row],[NLC (NET LANDING COST]]*InventoryList[[#This Row],[Quantity in stock]]</f>
        <v>550</v>
      </c>
      <c r="H207" s="62"/>
      <c r="I207" s="22"/>
    </row>
    <row r="208" spans="1:9" ht="30" customHeight="1">
      <c r="A208" s="25">
        <v>193</v>
      </c>
      <c r="B208" s="26" t="s">
        <v>252</v>
      </c>
      <c r="C208" s="26" t="s">
        <v>647</v>
      </c>
      <c r="D208" s="130">
        <v>50</v>
      </c>
      <c r="E208" s="51">
        <v>120</v>
      </c>
      <c r="F208" s="27">
        <v>5</v>
      </c>
      <c r="G208" s="41">
        <f>InventoryList[[#This Row],[NLC (NET LANDING COST]]*InventoryList[[#This Row],[Quantity in stock]]</f>
        <v>250</v>
      </c>
      <c r="H208" s="62"/>
      <c r="I208" s="22"/>
    </row>
    <row r="209" spans="1:9" ht="30" customHeight="1">
      <c r="A209" s="25">
        <v>194</v>
      </c>
      <c r="B209" s="26" t="s">
        <v>253</v>
      </c>
      <c r="C209" s="79" t="s">
        <v>1231</v>
      </c>
      <c r="D209" s="130">
        <v>85</v>
      </c>
      <c r="E209" s="51">
        <v>150</v>
      </c>
      <c r="F209" s="27">
        <v>5</v>
      </c>
      <c r="G209" s="41">
        <f>InventoryList[[#This Row],[NLC (NET LANDING COST]]*InventoryList[[#This Row],[Quantity in stock]]</f>
        <v>425</v>
      </c>
      <c r="H209" s="62"/>
      <c r="I209" s="22"/>
    </row>
    <row r="210" spans="1:9" ht="30" customHeight="1">
      <c r="A210" s="25">
        <v>195</v>
      </c>
      <c r="B210" s="26" t="s">
        <v>254</v>
      </c>
      <c r="C210" s="26" t="s">
        <v>648</v>
      </c>
      <c r="D210" s="130">
        <v>90</v>
      </c>
      <c r="E210" s="51">
        <v>170</v>
      </c>
      <c r="F210" s="27">
        <v>5</v>
      </c>
      <c r="G210" s="41">
        <f>InventoryList[[#This Row],[NLC (NET LANDING COST]]*InventoryList[[#This Row],[Quantity in stock]]</f>
        <v>450</v>
      </c>
      <c r="H210" s="62"/>
      <c r="I210" s="22"/>
    </row>
    <row r="211" spans="1:9" ht="30" customHeight="1">
      <c r="A211" s="25">
        <v>196</v>
      </c>
      <c r="B211" s="26" t="s">
        <v>255</v>
      </c>
      <c r="C211" s="79" t="s">
        <v>852</v>
      </c>
      <c r="D211" s="130">
        <v>30</v>
      </c>
      <c r="E211" s="51">
        <v>250</v>
      </c>
      <c r="F211" s="27">
        <v>6</v>
      </c>
      <c r="G211" s="41">
        <f>InventoryList[[#This Row],[NLC (NET LANDING COST]]*InventoryList[[#This Row],[Quantity in stock]]</f>
        <v>180</v>
      </c>
      <c r="H211" s="62"/>
      <c r="I211" s="22"/>
    </row>
    <row r="212" spans="1:9" ht="30" customHeight="1">
      <c r="A212" s="25">
        <v>197</v>
      </c>
      <c r="B212" s="26" t="s">
        <v>256</v>
      </c>
      <c r="C212" s="26" t="s">
        <v>649</v>
      </c>
      <c r="D212" s="130">
        <v>85</v>
      </c>
      <c r="E212" s="51">
        <v>170</v>
      </c>
      <c r="F212" s="27">
        <v>5</v>
      </c>
      <c r="G212" s="41">
        <f>InventoryList[[#This Row],[NLC (NET LANDING COST]]*InventoryList[[#This Row],[Quantity in stock]]</f>
        <v>425</v>
      </c>
      <c r="H212" s="62"/>
      <c r="I212" s="22"/>
    </row>
    <row r="213" spans="1:9" ht="30" customHeight="1">
      <c r="A213" s="25">
        <v>198</v>
      </c>
      <c r="B213" s="26" t="s">
        <v>257</v>
      </c>
      <c r="C213" s="26" t="s">
        <v>650</v>
      </c>
      <c r="D213" s="130">
        <v>160</v>
      </c>
      <c r="E213" s="51">
        <v>250</v>
      </c>
      <c r="F213" s="27">
        <v>3</v>
      </c>
      <c r="G213" s="41">
        <f>InventoryList[[#This Row],[NLC (NET LANDING COST]]*InventoryList[[#This Row],[Quantity in stock]]</f>
        <v>480</v>
      </c>
      <c r="H213" s="62"/>
      <c r="I213" s="22"/>
    </row>
    <row r="214" spans="1:9" ht="30" customHeight="1">
      <c r="A214" s="25">
        <v>199</v>
      </c>
      <c r="B214" s="26" t="s">
        <v>258</v>
      </c>
      <c r="C214" s="79" t="s">
        <v>651</v>
      </c>
      <c r="D214" s="130">
        <v>130</v>
      </c>
      <c r="E214" s="51">
        <v>200</v>
      </c>
      <c r="F214" s="27">
        <v>5</v>
      </c>
      <c r="G214" s="41">
        <f>InventoryList[[#This Row],[NLC (NET LANDING COST]]*InventoryList[[#This Row],[Quantity in stock]]</f>
        <v>650</v>
      </c>
      <c r="H214" s="62"/>
      <c r="I214" s="22"/>
    </row>
    <row r="215" spans="1:9" ht="30" customHeight="1">
      <c r="A215" s="25">
        <v>200</v>
      </c>
      <c r="B215" s="26" t="s">
        <v>259</v>
      </c>
      <c r="C215" s="26" t="s">
        <v>652</v>
      </c>
      <c r="D215" s="130">
        <v>135</v>
      </c>
      <c r="E215" s="51">
        <v>200</v>
      </c>
      <c r="F215" s="27">
        <v>5</v>
      </c>
      <c r="G215" s="41">
        <f>InventoryList[[#This Row],[NLC (NET LANDING COST]]*InventoryList[[#This Row],[Quantity in stock]]</f>
        <v>675</v>
      </c>
      <c r="H215" s="62"/>
      <c r="I215" s="22"/>
    </row>
    <row r="216" spans="1:9" s="10" customFormat="1" ht="30" customHeight="1">
      <c r="A216" s="28" t="s">
        <v>51</v>
      </c>
      <c r="B216" s="29">
        <v>3215</v>
      </c>
      <c r="C216" s="29"/>
      <c r="D216" s="130" t="s">
        <v>120</v>
      </c>
      <c r="E216" s="43"/>
      <c r="F216" s="30"/>
      <c r="G216" s="43"/>
      <c r="H216" s="63">
        <v>8420</v>
      </c>
    </row>
    <row r="217" spans="1:9" ht="30" customHeight="1">
      <c r="A217" s="25">
        <v>201</v>
      </c>
      <c r="B217" s="26" t="s">
        <v>260</v>
      </c>
      <c r="C217" s="26" t="s">
        <v>480</v>
      </c>
      <c r="D217" s="130">
        <v>170</v>
      </c>
      <c r="E217" s="51">
        <v>300</v>
      </c>
      <c r="F217" s="27">
        <v>3</v>
      </c>
      <c r="G217" s="41">
        <f>InventoryList[[#This Row],[NLC (NET LANDING COST]]*InventoryList[[#This Row],[Quantity in stock]]</f>
        <v>510</v>
      </c>
      <c r="H217" s="62"/>
      <c r="I217" s="22"/>
    </row>
    <row r="218" spans="1:9" ht="30" customHeight="1">
      <c r="A218" s="25">
        <v>202</v>
      </c>
      <c r="B218" s="26" t="s">
        <v>261</v>
      </c>
      <c r="C218" s="26" t="s">
        <v>481</v>
      </c>
      <c r="D218" s="130">
        <v>320</v>
      </c>
      <c r="E218" s="51">
        <v>500</v>
      </c>
      <c r="F218" s="27">
        <v>2</v>
      </c>
      <c r="G218" s="41">
        <f>InventoryList[[#This Row],[NLC (NET LANDING COST]]*InventoryList[[#This Row],[Quantity in stock]]</f>
        <v>640</v>
      </c>
      <c r="H218" s="62"/>
      <c r="I218" s="22"/>
    </row>
    <row r="219" spans="1:9" ht="30" customHeight="1">
      <c r="A219" s="25">
        <v>203</v>
      </c>
      <c r="B219" s="26" t="s">
        <v>262</v>
      </c>
      <c r="C219" s="79" t="s">
        <v>482</v>
      </c>
      <c r="D219" s="130">
        <v>120</v>
      </c>
      <c r="E219" s="51">
        <v>250</v>
      </c>
      <c r="F219" s="27">
        <v>3</v>
      </c>
      <c r="G219" s="41">
        <f>InventoryList[[#This Row],[NLC (NET LANDING COST]]*InventoryList[[#This Row],[Quantity in stock]]</f>
        <v>360</v>
      </c>
      <c r="H219" s="62"/>
      <c r="I219" s="22"/>
    </row>
    <row r="220" spans="1:9" ht="30" customHeight="1">
      <c r="A220" s="25">
        <v>204</v>
      </c>
      <c r="B220" s="26" t="s">
        <v>263</v>
      </c>
      <c r="C220" s="79" t="s">
        <v>653</v>
      </c>
      <c r="D220" s="130">
        <v>120</v>
      </c>
      <c r="E220" s="51">
        <v>250</v>
      </c>
      <c r="F220" s="27">
        <v>2</v>
      </c>
      <c r="G220" s="41">
        <f>InventoryList[[#This Row],[NLC (NET LANDING COST]]*InventoryList[[#This Row],[Quantity in stock]]</f>
        <v>240</v>
      </c>
      <c r="H220" s="62"/>
      <c r="I220" s="22"/>
    </row>
    <row r="221" spans="1:9" ht="30" customHeight="1">
      <c r="A221" s="25">
        <v>205</v>
      </c>
      <c r="B221" s="26" t="s">
        <v>264</v>
      </c>
      <c r="C221" s="35" t="s">
        <v>485</v>
      </c>
      <c r="D221" s="130">
        <v>130</v>
      </c>
      <c r="E221" s="51">
        <v>250</v>
      </c>
      <c r="F221" s="27">
        <v>3</v>
      </c>
      <c r="G221" s="41">
        <f>InventoryList[[#This Row],[NLC (NET LANDING COST]]*InventoryList[[#This Row],[Quantity in stock]]</f>
        <v>390</v>
      </c>
      <c r="H221" s="62"/>
      <c r="I221" s="22"/>
    </row>
    <row r="222" spans="1:9" ht="30" customHeight="1">
      <c r="A222" s="25">
        <v>206</v>
      </c>
      <c r="B222" s="26" t="s">
        <v>265</v>
      </c>
      <c r="C222" s="26" t="s">
        <v>483</v>
      </c>
      <c r="D222" s="130">
        <v>150</v>
      </c>
      <c r="E222" s="51">
        <v>250</v>
      </c>
      <c r="F222" s="27">
        <v>2</v>
      </c>
      <c r="G222" s="41">
        <f>InventoryList[[#This Row],[NLC (NET LANDING COST]]*InventoryList[[#This Row],[Quantity in stock]]</f>
        <v>300</v>
      </c>
      <c r="H222" s="62"/>
      <c r="I222" s="22"/>
    </row>
    <row r="223" spans="1:9" ht="30" customHeight="1">
      <c r="A223" s="25">
        <v>207</v>
      </c>
      <c r="B223" s="26" t="s">
        <v>266</v>
      </c>
      <c r="C223" s="26" t="s">
        <v>484</v>
      </c>
      <c r="D223" s="130">
        <v>250</v>
      </c>
      <c r="E223" s="51">
        <v>400</v>
      </c>
      <c r="F223" s="27">
        <v>2</v>
      </c>
      <c r="G223" s="41">
        <f>InventoryList[[#This Row],[NLC (NET LANDING COST]]*InventoryList[[#This Row],[Quantity in stock]]</f>
        <v>500</v>
      </c>
      <c r="H223" s="62"/>
      <c r="I223" s="22"/>
    </row>
    <row r="224" spans="1:9" ht="30" customHeight="1">
      <c r="A224" s="25">
        <v>208</v>
      </c>
      <c r="B224" s="26" t="s">
        <v>267</v>
      </c>
      <c r="C224" s="26" t="s">
        <v>486</v>
      </c>
      <c r="D224" s="130">
        <v>120</v>
      </c>
      <c r="E224" s="51">
        <v>250</v>
      </c>
      <c r="F224" s="27">
        <v>3</v>
      </c>
      <c r="G224" s="41">
        <f>InventoryList[[#This Row],[NLC (NET LANDING COST]]*InventoryList[[#This Row],[Quantity in stock]]</f>
        <v>360</v>
      </c>
      <c r="H224" s="62"/>
      <c r="I224" s="22"/>
    </row>
    <row r="225" spans="1:9" ht="30" customHeight="1">
      <c r="A225" s="25">
        <v>209</v>
      </c>
      <c r="B225" s="26" t="s">
        <v>268</v>
      </c>
      <c r="C225" s="26" t="s">
        <v>487</v>
      </c>
      <c r="D225" s="130">
        <v>210</v>
      </c>
      <c r="E225" s="51">
        <v>350</v>
      </c>
      <c r="F225" s="27">
        <v>3</v>
      </c>
      <c r="G225" s="41">
        <f>InventoryList[[#This Row],[NLC (NET LANDING COST]]*InventoryList[[#This Row],[Quantity in stock]]</f>
        <v>630</v>
      </c>
      <c r="H225" s="62"/>
      <c r="I225" s="22"/>
    </row>
    <row r="226" spans="1:9" ht="30" customHeight="1">
      <c r="A226" s="25">
        <v>210</v>
      </c>
      <c r="B226" s="26" t="s">
        <v>269</v>
      </c>
      <c r="C226" s="26" t="s">
        <v>488</v>
      </c>
      <c r="D226" s="130">
        <v>5</v>
      </c>
      <c r="E226" s="51">
        <v>30</v>
      </c>
      <c r="F226" s="27">
        <v>25</v>
      </c>
      <c r="G226" s="41">
        <f>InventoryList[[#This Row],[NLC (NET LANDING COST]]*InventoryList[[#This Row],[Quantity in stock]]</f>
        <v>125</v>
      </c>
      <c r="H226" s="62"/>
      <c r="I226" s="22"/>
    </row>
    <row r="227" spans="1:9" ht="30" customHeight="1">
      <c r="A227" s="25">
        <v>211</v>
      </c>
      <c r="B227" s="26" t="s">
        <v>270</v>
      </c>
      <c r="C227" s="26" t="s">
        <v>489</v>
      </c>
      <c r="D227" s="130">
        <v>20</v>
      </c>
      <c r="E227" s="51">
        <v>50</v>
      </c>
      <c r="F227" s="27">
        <v>5</v>
      </c>
      <c r="G227" s="41">
        <f>InventoryList[[#This Row],[NLC (NET LANDING COST]]*InventoryList[[#This Row],[Quantity in stock]]</f>
        <v>100</v>
      </c>
      <c r="H227" s="62"/>
      <c r="I227" s="22"/>
    </row>
    <row r="228" spans="1:9" ht="30" customHeight="1">
      <c r="A228" s="25">
        <v>212</v>
      </c>
      <c r="B228" s="26" t="s">
        <v>271</v>
      </c>
      <c r="C228" s="26" t="s">
        <v>490</v>
      </c>
      <c r="D228" s="130">
        <v>400</v>
      </c>
      <c r="E228" s="51">
        <v>550</v>
      </c>
      <c r="F228" s="27">
        <v>2</v>
      </c>
      <c r="G228" s="41">
        <f>InventoryList[[#This Row],[NLC (NET LANDING COST]]*InventoryList[[#This Row],[Quantity in stock]]</f>
        <v>800</v>
      </c>
      <c r="H228" s="62"/>
      <c r="I228" s="22"/>
    </row>
    <row r="229" spans="1:9" ht="30" customHeight="1">
      <c r="A229" s="25">
        <v>213</v>
      </c>
      <c r="B229" s="26" t="s">
        <v>272</v>
      </c>
      <c r="C229" s="26" t="s">
        <v>491</v>
      </c>
      <c r="D229" s="130">
        <v>330</v>
      </c>
      <c r="E229" s="51">
        <v>450</v>
      </c>
      <c r="F229" s="27">
        <v>2</v>
      </c>
      <c r="G229" s="41">
        <f>InventoryList[[#This Row],[NLC (NET LANDING COST]]*InventoryList[[#This Row],[Quantity in stock]]</f>
        <v>660</v>
      </c>
      <c r="H229" s="62"/>
      <c r="I229" s="22"/>
    </row>
    <row r="230" spans="1:9" ht="30" customHeight="1">
      <c r="A230" s="25">
        <v>214</v>
      </c>
      <c r="B230" s="26" t="s">
        <v>273</v>
      </c>
      <c r="C230" s="26" t="s">
        <v>654</v>
      </c>
      <c r="D230" s="130">
        <v>320</v>
      </c>
      <c r="E230" s="51">
        <v>550</v>
      </c>
      <c r="F230" s="27">
        <v>2</v>
      </c>
      <c r="G230" s="41">
        <f>InventoryList[[#This Row],[NLC (NET LANDING COST]]*InventoryList[[#This Row],[Quantity in stock]]</f>
        <v>640</v>
      </c>
      <c r="H230" s="62"/>
      <c r="I230" s="22"/>
    </row>
    <row r="231" spans="1:9" ht="30" customHeight="1">
      <c r="A231" s="25">
        <v>215</v>
      </c>
      <c r="B231" s="26" t="s">
        <v>274</v>
      </c>
      <c r="C231" s="25" t="s">
        <v>494</v>
      </c>
      <c r="D231" s="130">
        <v>220</v>
      </c>
      <c r="E231" s="51">
        <v>350</v>
      </c>
      <c r="F231" s="27">
        <v>2</v>
      </c>
      <c r="G231" s="41">
        <f>InventoryList[[#This Row],[NLC (NET LANDING COST]]*InventoryList[[#This Row],[Quantity in stock]]</f>
        <v>440</v>
      </c>
      <c r="H231" s="62"/>
      <c r="I231" s="22"/>
    </row>
    <row r="232" spans="1:9" ht="30" customHeight="1">
      <c r="A232" s="25">
        <v>216</v>
      </c>
      <c r="B232" s="26" t="s">
        <v>275</v>
      </c>
      <c r="C232" s="26" t="s">
        <v>492</v>
      </c>
      <c r="D232" s="130">
        <v>75</v>
      </c>
      <c r="E232" s="51">
        <v>150</v>
      </c>
      <c r="F232" s="27">
        <v>10</v>
      </c>
      <c r="G232" s="41">
        <f>InventoryList[[#This Row],[NLC (NET LANDING COST]]*InventoryList[[#This Row],[Quantity in stock]]</f>
        <v>750</v>
      </c>
      <c r="H232" s="62"/>
      <c r="I232" s="22"/>
    </row>
    <row r="233" spans="1:9" ht="30" customHeight="1">
      <c r="A233" s="25">
        <v>217</v>
      </c>
      <c r="B233" s="26" t="s">
        <v>276</v>
      </c>
      <c r="C233" s="26" t="s">
        <v>493</v>
      </c>
      <c r="D233" s="130">
        <v>50</v>
      </c>
      <c r="E233" s="51">
        <v>110</v>
      </c>
      <c r="F233" s="27">
        <v>10</v>
      </c>
      <c r="G233" s="41">
        <f>InventoryList[[#This Row],[NLC (NET LANDING COST]]*InventoryList[[#This Row],[Quantity in stock]]</f>
        <v>500</v>
      </c>
      <c r="H233" s="62"/>
      <c r="I233" s="22"/>
    </row>
    <row r="234" spans="1:9" ht="30" customHeight="1">
      <c r="A234" s="25">
        <v>218</v>
      </c>
      <c r="B234" s="26" t="s">
        <v>277</v>
      </c>
      <c r="C234" s="26" t="s">
        <v>504</v>
      </c>
      <c r="D234" s="130">
        <v>45</v>
      </c>
      <c r="E234" s="51">
        <v>110</v>
      </c>
      <c r="F234" s="27">
        <v>25</v>
      </c>
      <c r="G234" s="41">
        <f>InventoryList[[#This Row],[NLC (NET LANDING COST]]*InventoryList[[#This Row],[Quantity in stock]]</f>
        <v>1125</v>
      </c>
      <c r="H234" s="62"/>
      <c r="I234" s="22"/>
    </row>
    <row r="235" spans="1:9" ht="30" customHeight="1">
      <c r="A235" s="25">
        <v>219</v>
      </c>
      <c r="B235" s="26" t="s">
        <v>278</v>
      </c>
      <c r="C235" s="26" t="s">
        <v>655</v>
      </c>
      <c r="D235" s="130">
        <v>130</v>
      </c>
      <c r="E235" s="51">
        <v>200</v>
      </c>
      <c r="F235" s="27">
        <v>5</v>
      </c>
      <c r="G235" s="41">
        <f>InventoryList[[#This Row],[NLC (NET LANDING COST]]*InventoryList[[#This Row],[Quantity in stock]]</f>
        <v>650</v>
      </c>
      <c r="H235" s="62"/>
      <c r="I235" s="22"/>
    </row>
    <row r="236" spans="1:9" ht="30" customHeight="1">
      <c r="A236" s="25">
        <v>220</v>
      </c>
      <c r="B236" s="26" t="s">
        <v>279</v>
      </c>
      <c r="C236" s="26" t="s">
        <v>656</v>
      </c>
      <c r="D236" s="130">
        <v>130</v>
      </c>
      <c r="E236" s="51">
        <v>200</v>
      </c>
      <c r="F236" s="27">
        <v>5</v>
      </c>
      <c r="G236" s="41">
        <f>InventoryList[[#This Row],[NLC (NET LANDING COST]]*InventoryList[[#This Row],[Quantity in stock]]</f>
        <v>650</v>
      </c>
      <c r="H236" s="62"/>
      <c r="I236" s="22"/>
    </row>
    <row r="237" spans="1:9" s="10" customFormat="1" ht="30" customHeight="1">
      <c r="A237" s="28" t="s">
        <v>51</v>
      </c>
      <c r="B237" s="29">
        <v>3214</v>
      </c>
      <c r="C237" s="29"/>
      <c r="D237" s="130" t="s">
        <v>120</v>
      </c>
      <c r="E237" s="43"/>
      <c r="F237" s="30"/>
      <c r="G237" s="43"/>
      <c r="H237" s="63">
        <v>10370</v>
      </c>
    </row>
    <row r="238" spans="1:9" ht="30" customHeight="1">
      <c r="A238" s="25">
        <v>221</v>
      </c>
      <c r="B238" s="26" t="s">
        <v>280</v>
      </c>
      <c r="C238" s="26" t="s">
        <v>496</v>
      </c>
      <c r="D238" s="130">
        <v>30</v>
      </c>
      <c r="E238" s="51">
        <v>70</v>
      </c>
      <c r="F238" s="27">
        <v>20</v>
      </c>
      <c r="G238" s="41">
        <f>InventoryList[[#This Row],[NLC (NET LANDING COST]]*InventoryList[[#This Row],[Quantity in stock]]</f>
        <v>600</v>
      </c>
      <c r="H238" s="62"/>
      <c r="I238" s="22"/>
    </row>
    <row r="239" spans="1:9" ht="30" customHeight="1">
      <c r="A239" s="25">
        <v>222</v>
      </c>
      <c r="B239" s="26" t="s">
        <v>281</v>
      </c>
      <c r="C239" s="26" t="s">
        <v>497</v>
      </c>
      <c r="D239" s="130">
        <v>120</v>
      </c>
      <c r="E239" s="51">
        <v>220</v>
      </c>
      <c r="F239" s="27">
        <v>5</v>
      </c>
      <c r="G239" s="41">
        <f>InventoryList[[#This Row],[NLC (NET LANDING COST]]*InventoryList[[#This Row],[Quantity in stock]]</f>
        <v>600</v>
      </c>
      <c r="H239" s="62"/>
      <c r="I239" s="22"/>
    </row>
    <row r="240" spans="1:9" ht="30" customHeight="1">
      <c r="A240" s="25">
        <v>223</v>
      </c>
      <c r="B240" s="26" t="s">
        <v>282</v>
      </c>
      <c r="C240" s="26" t="s">
        <v>498</v>
      </c>
      <c r="D240" s="130">
        <v>50</v>
      </c>
      <c r="E240" s="51">
        <v>110</v>
      </c>
      <c r="F240" s="27">
        <v>5</v>
      </c>
      <c r="G240" s="41">
        <f>InventoryList[[#This Row],[NLC (NET LANDING COST]]*InventoryList[[#This Row],[Quantity in stock]]</f>
        <v>250</v>
      </c>
      <c r="H240" s="62"/>
      <c r="I240" s="22"/>
    </row>
    <row r="241" spans="1:9" ht="30" customHeight="1">
      <c r="A241" s="25">
        <v>224</v>
      </c>
      <c r="B241" s="26" t="s">
        <v>283</v>
      </c>
      <c r="C241" s="26" t="s">
        <v>499</v>
      </c>
      <c r="D241" s="130">
        <v>140</v>
      </c>
      <c r="E241" s="51">
        <v>200</v>
      </c>
      <c r="F241" s="27">
        <v>5</v>
      </c>
      <c r="G241" s="41">
        <f>InventoryList[[#This Row],[NLC (NET LANDING COST]]*InventoryList[[#This Row],[Quantity in stock]]</f>
        <v>700</v>
      </c>
      <c r="H241" s="62" t="s">
        <v>495</v>
      </c>
      <c r="I241" s="22"/>
    </row>
    <row r="242" spans="1:9" ht="30" customHeight="1">
      <c r="A242" s="25">
        <v>225</v>
      </c>
      <c r="B242" s="26" t="s">
        <v>284</v>
      </c>
      <c r="C242" s="26" t="s">
        <v>500</v>
      </c>
      <c r="D242" s="130">
        <v>90</v>
      </c>
      <c r="E242" s="51">
        <v>180</v>
      </c>
      <c r="F242" s="27">
        <v>10</v>
      </c>
      <c r="G242" s="41">
        <f>InventoryList[[#This Row],[NLC (NET LANDING COST]]*InventoryList[[#This Row],[Quantity in stock]]</f>
        <v>900</v>
      </c>
      <c r="H242" s="62"/>
      <c r="I242" s="22"/>
    </row>
    <row r="243" spans="1:9" ht="30" customHeight="1">
      <c r="A243" s="25">
        <v>226</v>
      </c>
      <c r="B243" s="26" t="s">
        <v>285</v>
      </c>
      <c r="C243" s="79" t="s">
        <v>1230</v>
      </c>
      <c r="D243" s="130">
        <v>105</v>
      </c>
      <c r="E243" s="51">
        <v>150</v>
      </c>
      <c r="F243" s="27">
        <v>10</v>
      </c>
      <c r="G243" s="41">
        <f>InventoryList[[#This Row],[NLC (NET LANDING COST]]*InventoryList[[#This Row],[Quantity in stock]]</f>
        <v>1050</v>
      </c>
      <c r="H243" s="62"/>
      <c r="I243" s="22"/>
    </row>
    <row r="244" spans="1:9" ht="30" customHeight="1">
      <c r="A244" s="25">
        <v>227</v>
      </c>
      <c r="B244" s="26" t="s">
        <v>286</v>
      </c>
      <c r="C244" s="26" t="s">
        <v>501</v>
      </c>
      <c r="D244" s="130">
        <v>140</v>
      </c>
      <c r="E244" s="51">
        <v>200</v>
      </c>
      <c r="F244" s="27">
        <v>5</v>
      </c>
      <c r="G244" s="41">
        <f>InventoryList[[#This Row],[NLC (NET LANDING COST]]*InventoryList[[#This Row],[Quantity in stock]]</f>
        <v>700</v>
      </c>
      <c r="H244" s="62"/>
      <c r="I244" s="22"/>
    </row>
    <row r="245" spans="1:9" ht="30" customHeight="1">
      <c r="A245" s="25">
        <v>228</v>
      </c>
      <c r="B245" s="26" t="s">
        <v>287</v>
      </c>
      <c r="C245" s="26" t="s">
        <v>502</v>
      </c>
      <c r="D245" s="130">
        <v>70</v>
      </c>
      <c r="E245" s="51">
        <v>150</v>
      </c>
      <c r="F245" s="27">
        <v>5</v>
      </c>
      <c r="G245" s="41">
        <f>InventoryList[[#This Row],[NLC (NET LANDING COST]]*InventoryList[[#This Row],[Quantity in stock]]</f>
        <v>350</v>
      </c>
      <c r="H245" s="62"/>
      <c r="I245" s="22"/>
    </row>
    <row r="246" spans="1:9" ht="30" customHeight="1">
      <c r="A246" s="25">
        <v>229</v>
      </c>
      <c r="B246" s="26" t="s">
        <v>288</v>
      </c>
      <c r="C246" s="26" t="s">
        <v>503</v>
      </c>
      <c r="D246" s="130">
        <v>130</v>
      </c>
      <c r="E246" s="51">
        <v>250</v>
      </c>
      <c r="F246" s="27">
        <v>10</v>
      </c>
      <c r="G246" s="41">
        <f>InventoryList[[#This Row],[NLC (NET LANDING COST]]*InventoryList[[#This Row],[Quantity in stock]]</f>
        <v>1300</v>
      </c>
      <c r="H246" s="62"/>
      <c r="I246" s="22"/>
    </row>
    <row r="247" spans="1:9" ht="30" customHeight="1">
      <c r="A247" s="25">
        <v>230</v>
      </c>
      <c r="B247" s="26" t="s">
        <v>360</v>
      </c>
      <c r="C247" s="26" t="s">
        <v>657</v>
      </c>
      <c r="D247" s="130">
        <v>16</v>
      </c>
      <c r="E247" s="51">
        <v>50</v>
      </c>
      <c r="F247" s="27">
        <v>10</v>
      </c>
      <c r="G247" s="41">
        <f>InventoryList[[#This Row],[NLC (NET LANDING COST]]*InventoryList[[#This Row],[Quantity in stock]]</f>
        <v>160</v>
      </c>
      <c r="H247" s="62"/>
      <c r="I247" s="22"/>
    </row>
    <row r="248" spans="1:9" ht="30" customHeight="1">
      <c r="A248" s="25">
        <v>231</v>
      </c>
      <c r="B248" s="26" t="s">
        <v>361</v>
      </c>
      <c r="C248" s="26" t="s">
        <v>658</v>
      </c>
      <c r="D248" s="130">
        <v>22</v>
      </c>
      <c r="E248" s="51">
        <v>60</v>
      </c>
      <c r="F248" s="27">
        <v>10</v>
      </c>
      <c r="G248" s="41">
        <f>InventoryList[[#This Row],[NLC (NET LANDING COST]]*InventoryList[[#This Row],[Quantity in stock]]</f>
        <v>220</v>
      </c>
      <c r="H248" s="62"/>
      <c r="I248" s="22"/>
    </row>
    <row r="249" spans="1:9" ht="30" customHeight="1">
      <c r="A249" s="25">
        <v>232</v>
      </c>
      <c r="B249" s="26" t="s">
        <v>362</v>
      </c>
      <c r="C249" s="26" t="s">
        <v>659</v>
      </c>
      <c r="D249" s="130">
        <v>30</v>
      </c>
      <c r="E249" s="51">
        <v>65</v>
      </c>
      <c r="F249" s="27">
        <v>10</v>
      </c>
      <c r="G249" s="41">
        <f>InventoryList[[#This Row],[NLC (NET LANDING COST]]*InventoryList[[#This Row],[Quantity in stock]]</f>
        <v>300</v>
      </c>
      <c r="H249" s="62"/>
      <c r="I249" s="22"/>
    </row>
    <row r="250" spans="1:9" ht="30" customHeight="1">
      <c r="A250" s="25">
        <v>233</v>
      </c>
      <c r="B250" s="26" t="s">
        <v>363</v>
      </c>
      <c r="C250" s="26" t="s">
        <v>660</v>
      </c>
      <c r="D250" s="130">
        <v>40</v>
      </c>
      <c r="E250" s="51">
        <v>80</v>
      </c>
      <c r="F250" s="27">
        <v>10</v>
      </c>
      <c r="G250" s="41">
        <f>InventoryList[[#This Row],[NLC (NET LANDING COST]]*InventoryList[[#This Row],[Quantity in stock]]</f>
        <v>400</v>
      </c>
      <c r="H250" s="62"/>
      <c r="I250" s="22"/>
    </row>
    <row r="251" spans="1:9" ht="30" customHeight="1">
      <c r="A251" s="25">
        <v>234</v>
      </c>
      <c r="B251" s="26" t="s">
        <v>364</v>
      </c>
      <c r="C251" s="26" t="s">
        <v>661</v>
      </c>
      <c r="D251" s="130">
        <v>26</v>
      </c>
      <c r="E251" s="51">
        <v>60</v>
      </c>
      <c r="F251" s="27">
        <v>10</v>
      </c>
      <c r="G251" s="41">
        <f>InventoryList[[#This Row],[NLC (NET LANDING COST]]*InventoryList[[#This Row],[Quantity in stock]]</f>
        <v>260</v>
      </c>
      <c r="H251" s="62"/>
      <c r="I251" s="22"/>
    </row>
    <row r="252" spans="1:9" ht="30" customHeight="1">
      <c r="A252" s="25">
        <v>235</v>
      </c>
      <c r="B252" s="26" t="s">
        <v>365</v>
      </c>
      <c r="C252" s="26" t="s">
        <v>662</v>
      </c>
      <c r="D252" s="130">
        <v>30</v>
      </c>
      <c r="E252" s="51">
        <v>70</v>
      </c>
      <c r="F252" s="27">
        <v>10</v>
      </c>
      <c r="G252" s="41">
        <f>InventoryList[[#This Row],[NLC (NET LANDING COST]]*InventoryList[[#This Row],[Quantity in stock]]</f>
        <v>300</v>
      </c>
      <c r="H252" s="62"/>
      <c r="I252" s="22"/>
    </row>
    <row r="253" spans="1:9" ht="30" customHeight="1">
      <c r="A253" s="25">
        <v>236</v>
      </c>
      <c r="B253" s="26" t="s">
        <v>366</v>
      </c>
      <c r="C253" s="26" t="s">
        <v>663</v>
      </c>
      <c r="D253" s="130">
        <v>20</v>
      </c>
      <c r="E253" s="51">
        <v>50</v>
      </c>
      <c r="F253" s="27">
        <v>5</v>
      </c>
      <c r="G253" s="41">
        <f>InventoryList[[#This Row],[NLC (NET LANDING COST]]*InventoryList[[#This Row],[Quantity in stock]]</f>
        <v>100</v>
      </c>
      <c r="H253" s="62"/>
      <c r="I253" s="22"/>
    </row>
    <row r="254" spans="1:9" ht="30" customHeight="1">
      <c r="A254" s="25">
        <v>237</v>
      </c>
      <c r="B254" s="26" t="s">
        <v>367</v>
      </c>
      <c r="C254" s="26" t="s">
        <v>664</v>
      </c>
      <c r="D254" s="130">
        <v>170</v>
      </c>
      <c r="E254" s="51">
        <v>300</v>
      </c>
      <c r="F254" s="27">
        <v>3</v>
      </c>
      <c r="G254" s="41">
        <f>InventoryList[[#This Row],[NLC (NET LANDING COST]]*InventoryList[[#This Row],[Quantity in stock]]</f>
        <v>510</v>
      </c>
      <c r="H254" s="62"/>
      <c r="I254" s="22"/>
    </row>
    <row r="255" spans="1:9" ht="30" customHeight="1">
      <c r="A255" s="25">
        <v>238</v>
      </c>
      <c r="B255" s="26" t="s">
        <v>368</v>
      </c>
      <c r="C255" s="26" t="s">
        <v>665</v>
      </c>
      <c r="D255" s="130">
        <v>140</v>
      </c>
      <c r="E255" s="51">
        <v>300</v>
      </c>
      <c r="F255" s="27">
        <v>3</v>
      </c>
      <c r="G255" s="41">
        <f>InventoryList[[#This Row],[NLC (NET LANDING COST]]*InventoryList[[#This Row],[Quantity in stock]]</f>
        <v>420</v>
      </c>
      <c r="H255" s="62"/>
      <c r="I255" s="22"/>
    </row>
    <row r="256" spans="1:9" ht="30" customHeight="1">
      <c r="A256" s="25">
        <v>239</v>
      </c>
      <c r="B256" s="26" t="s">
        <v>369</v>
      </c>
      <c r="C256" s="26" t="s">
        <v>666</v>
      </c>
      <c r="D256" s="130">
        <v>180</v>
      </c>
      <c r="E256" s="51">
        <v>350</v>
      </c>
      <c r="F256" s="27">
        <v>3</v>
      </c>
      <c r="G256" s="41">
        <f>InventoryList[[#This Row],[NLC (NET LANDING COST]]*InventoryList[[#This Row],[Quantity in stock]]</f>
        <v>540</v>
      </c>
      <c r="H256" s="62"/>
      <c r="I256" s="22"/>
    </row>
    <row r="257" spans="1:9" ht="30" customHeight="1">
      <c r="A257" s="25">
        <v>240</v>
      </c>
      <c r="B257" s="26" t="s">
        <v>370</v>
      </c>
      <c r="C257" s="79" t="s">
        <v>667</v>
      </c>
      <c r="D257" s="130">
        <v>40</v>
      </c>
      <c r="E257" s="51">
        <v>90</v>
      </c>
      <c r="F257" s="27">
        <v>5</v>
      </c>
      <c r="G257" s="41">
        <f>InventoryList[[#This Row],[NLC (NET LANDING COST]]*InventoryList[[#This Row],[Quantity in stock]]</f>
        <v>200</v>
      </c>
      <c r="H257" s="62"/>
      <c r="I257" s="22"/>
    </row>
    <row r="258" spans="1:9" s="10" customFormat="1" ht="30" customHeight="1">
      <c r="A258" s="28" t="s">
        <v>51</v>
      </c>
      <c r="B258" s="29">
        <v>3213</v>
      </c>
      <c r="C258" s="29"/>
      <c r="D258" s="130" t="s">
        <v>120</v>
      </c>
      <c r="E258" s="43"/>
      <c r="F258" s="30"/>
      <c r="G258" s="43"/>
      <c r="H258" s="63">
        <v>9860</v>
      </c>
    </row>
    <row r="259" spans="1:9" ht="30" customHeight="1">
      <c r="A259" s="25">
        <v>241</v>
      </c>
      <c r="B259" s="26" t="s">
        <v>371</v>
      </c>
      <c r="C259" s="26" t="s">
        <v>505</v>
      </c>
      <c r="D259" s="130">
        <v>230</v>
      </c>
      <c r="E259" s="51">
        <v>400</v>
      </c>
      <c r="F259" s="27">
        <v>2</v>
      </c>
      <c r="G259" s="41">
        <f>InventoryList[[#This Row],[NLC (NET LANDING COST]]*InventoryList[[#This Row],[Quantity in stock]]</f>
        <v>460</v>
      </c>
      <c r="H259" s="62"/>
      <c r="I259" s="22"/>
    </row>
    <row r="260" spans="1:9" ht="30" customHeight="1">
      <c r="A260" s="25">
        <v>242</v>
      </c>
      <c r="B260" s="26" t="s">
        <v>372</v>
      </c>
      <c r="C260" s="26" t="s">
        <v>506</v>
      </c>
      <c r="D260" s="130">
        <v>230</v>
      </c>
      <c r="E260" s="51">
        <v>400</v>
      </c>
      <c r="F260" s="27">
        <v>2</v>
      </c>
      <c r="G260" s="41">
        <f>InventoryList[[#This Row],[NLC (NET LANDING COST]]*InventoryList[[#This Row],[Quantity in stock]]</f>
        <v>460</v>
      </c>
      <c r="H260" s="62"/>
      <c r="I260" s="22"/>
    </row>
    <row r="261" spans="1:9" ht="30" customHeight="1">
      <c r="A261" s="25">
        <v>243</v>
      </c>
      <c r="B261" s="26" t="s">
        <v>373</v>
      </c>
      <c r="C261" s="26" t="s">
        <v>507</v>
      </c>
      <c r="D261" s="130">
        <v>260</v>
      </c>
      <c r="E261" s="51">
        <v>450</v>
      </c>
      <c r="F261" s="27">
        <v>2</v>
      </c>
      <c r="G261" s="41">
        <f>InventoryList[[#This Row],[NLC (NET LANDING COST]]*InventoryList[[#This Row],[Quantity in stock]]</f>
        <v>520</v>
      </c>
      <c r="H261" s="62"/>
      <c r="I261" s="22"/>
    </row>
    <row r="262" spans="1:9" ht="30" customHeight="1">
      <c r="A262" s="25">
        <v>244</v>
      </c>
      <c r="B262" s="26" t="s">
        <v>374</v>
      </c>
      <c r="C262" s="26" t="s">
        <v>507</v>
      </c>
      <c r="D262" s="130">
        <v>260</v>
      </c>
      <c r="E262" s="51">
        <v>450</v>
      </c>
      <c r="F262" s="27">
        <v>2</v>
      </c>
      <c r="G262" s="41">
        <f>InventoryList[[#This Row],[NLC (NET LANDING COST]]*InventoryList[[#This Row],[Quantity in stock]]</f>
        <v>520</v>
      </c>
      <c r="H262" s="62"/>
      <c r="I262" s="22"/>
    </row>
    <row r="263" spans="1:9" ht="30" customHeight="1">
      <c r="A263" s="25">
        <v>245</v>
      </c>
      <c r="B263" s="26" t="s">
        <v>375</v>
      </c>
      <c r="C263" s="26" t="s">
        <v>668</v>
      </c>
      <c r="D263" s="130">
        <v>350</v>
      </c>
      <c r="E263" s="51">
        <v>500</v>
      </c>
      <c r="F263" s="27">
        <v>2</v>
      </c>
      <c r="G263" s="41">
        <f>InventoryList[[#This Row],[NLC (NET LANDING COST]]*InventoryList[[#This Row],[Quantity in stock]]</f>
        <v>700</v>
      </c>
      <c r="H263" s="62"/>
      <c r="I263" s="22"/>
    </row>
    <row r="264" spans="1:9" ht="30" customHeight="1">
      <c r="A264" s="25">
        <v>246</v>
      </c>
      <c r="B264" s="26" t="s">
        <v>376</v>
      </c>
      <c r="C264" s="26" t="s">
        <v>508</v>
      </c>
      <c r="D264" s="130">
        <v>275</v>
      </c>
      <c r="E264" s="51">
        <v>450</v>
      </c>
      <c r="F264" s="27">
        <v>1</v>
      </c>
      <c r="G264" s="41">
        <f>InventoryList[[#This Row],[NLC (NET LANDING COST]]*InventoryList[[#This Row],[Quantity in stock]]</f>
        <v>275</v>
      </c>
      <c r="H264" s="62"/>
      <c r="I264" s="22"/>
    </row>
    <row r="265" spans="1:9" ht="30" customHeight="1">
      <c r="A265" s="25">
        <v>247</v>
      </c>
      <c r="B265" s="26" t="s">
        <v>377</v>
      </c>
      <c r="C265" s="26" t="s">
        <v>509</v>
      </c>
      <c r="D265" s="130">
        <v>250</v>
      </c>
      <c r="E265" s="51">
        <v>400</v>
      </c>
      <c r="F265" s="27">
        <v>2</v>
      </c>
      <c r="G265" s="41">
        <f>InventoryList[[#This Row],[NLC (NET LANDING COST]]*InventoryList[[#This Row],[Quantity in stock]]</f>
        <v>500</v>
      </c>
      <c r="H265" s="62"/>
      <c r="I265" s="22"/>
    </row>
    <row r="266" spans="1:9" ht="30" customHeight="1">
      <c r="A266" s="25">
        <v>248</v>
      </c>
      <c r="B266" s="26" t="s">
        <v>378</v>
      </c>
      <c r="C266" s="26" t="s">
        <v>510</v>
      </c>
      <c r="D266" s="130">
        <v>350</v>
      </c>
      <c r="E266" s="51">
        <v>500</v>
      </c>
      <c r="F266" s="27">
        <v>1</v>
      </c>
      <c r="G266" s="41">
        <f>InventoryList[[#This Row],[NLC (NET LANDING COST]]*InventoryList[[#This Row],[Quantity in stock]]</f>
        <v>350</v>
      </c>
      <c r="H266" s="62"/>
      <c r="I266" s="22"/>
    </row>
    <row r="267" spans="1:9" ht="30" customHeight="1">
      <c r="A267" s="25">
        <v>249</v>
      </c>
      <c r="B267" s="26" t="s">
        <v>379</v>
      </c>
      <c r="C267" s="26" t="s">
        <v>511</v>
      </c>
      <c r="D267" s="130">
        <v>260</v>
      </c>
      <c r="E267" s="51">
        <v>400</v>
      </c>
      <c r="F267" s="27">
        <v>2</v>
      </c>
      <c r="G267" s="41">
        <f>InventoryList[[#This Row],[NLC (NET LANDING COST]]*InventoryList[[#This Row],[Quantity in stock]]</f>
        <v>520</v>
      </c>
      <c r="H267" s="62"/>
      <c r="I267" s="22"/>
    </row>
    <row r="268" spans="1:9" ht="30" customHeight="1">
      <c r="A268" s="25">
        <v>250</v>
      </c>
      <c r="B268" s="26" t="s">
        <v>380</v>
      </c>
      <c r="C268" s="79" t="s">
        <v>512</v>
      </c>
      <c r="D268" s="130">
        <v>300</v>
      </c>
      <c r="E268" s="51">
        <v>450</v>
      </c>
      <c r="F268" s="27">
        <v>4</v>
      </c>
      <c r="G268" s="41">
        <f>InventoryList[[#This Row],[NLC (NET LANDING COST]]*InventoryList[[#This Row],[Quantity in stock]]</f>
        <v>1200</v>
      </c>
      <c r="H268" s="62"/>
      <c r="I268" s="22"/>
    </row>
    <row r="269" spans="1:9" ht="30" customHeight="1">
      <c r="A269" s="25">
        <v>251</v>
      </c>
      <c r="B269" s="26" t="s">
        <v>381</v>
      </c>
      <c r="C269" s="26" t="s">
        <v>513</v>
      </c>
      <c r="D269" s="130">
        <v>20</v>
      </c>
      <c r="E269" s="51">
        <v>50</v>
      </c>
      <c r="F269" s="27">
        <v>5</v>
      </c>
      <c r="G269" s="41">
        <f>InventoryList[[#This Row],[NLC (NET LANDING COST]]*InventoryList[[#This Row],[Quantity in stock]]</f>
        <v>100</v>
      </c>
      <c r="H269" s="62"/>
      <c r="I269" s="22"/>
    </row>
    <row r="270" spans="1:9" ht="30" customHeight="1">
      <c r="A270" s="25">
        <v>252</v>
      </c>
      <c r="B270" s="26" t="s">
        <v>382</v>
      </c>
      <c r="C270" s="26" t="s">
        <v>514</v>
      </c>
      <c r="D270" s="130">
        <v>12</v>
      </c>
      <c r="E270" s="51">
        <v>40</v>
      </c>
      <c r="F270" s="27">
        <v>5</v>
      </c>
      <c r="G270" s="41">
        <f>InventoryList[[#This Row],[NLC (NET LANDING COST]]*InventoryList[[#This Row],[Quantity in stock]]</f>
        <v>60</v>
      </c>
      <c r="H270" s="62"/>
      <c r="I270" s="22"/>
    </row>
    <row r="271" spans="1:9" ht="30" customHeight="1">
      <c r="A271" s="25">
        <v>253</v>
      </c>
      <c r="B271" s="26" t="s">
        <v>383</v>
      </c>
      <c r="C271" s="26" t="s">
        <v>516</v>
      </c>
      <c r="D271" s="130">
        <v>65</v>
      </c>
      <c r="E271" s="51">
        <v>100</v>
      </c>
      <c r="F271" s="27">
        <v>2</v>
      </c>
      <c r="G271" s="41">
        <f>InventoryList[[#This Row],[NLC (NET LANDING COST]]*InventoryList[[#This Row],[Quantity in stock]]</f>
        <v>130</v>
      </c>
      <c r="H271" s="62"/>
      <c r="I271" s="22"/>
    </row>
    <row r="272" spans="1:9" ht="30" customHeight="1">
      <c r="A272" s="25">
        <v>254</v>
      </c>
      <c r="B272" s="26" t="s">
        <v>384</v>
      </c>
      <c r="C272" s="26" t="s">
        <v>669</v>
      </c>
      <c r="D272" s="130">
        <v>120</v>
      </c>
      <c r="E272" s="51">
        <v>200</v>
      </c>
      <c r="F272" s="27">
        <v>2</v>
      </c>
      <c r="G272" s="41">
        <f>InventoryList[[#This Row],[NLC (NET LANDING COST]]*InventoryList[[#This Row],[Quantity in stock]]</f>
        <v>240</v>
      </c>
      <c r="H272" s="62"/>
      <c r="I272" s="22"/>
    </row>
    <row r="273" spans="1:9" ht="30" customHeight="1">
      <c r="A273" s="25">
        <v>255</v>
      </c>
      <c r="B273" s="26" t="s">
        <v>385</v>
      </c>
      <c r="C273" s="26" t="s">
        <v>817</v>
      </c>
      <c r="D273" s="130">
        <v>330</v>
      </c>
      <c r="E273" s="51">
        <v>450</v>
      </c>
      <c r="F273" s="27">
        <v>5</v>
      </c>
      <c r="G273" s="41">
        <f>InventoryList[[#This Row],[NLC (NET LANDING COST]]*InventoryList[[#This Row],[Quantity in stock]]</f>
        <v>1650</v>
      </c>
      <c r="H273" s="62"/>
      <c r="I273" s="22"/>
    </row>
    <row r="274" spans="1:9" ht="30" customHeight="1">
      <c r="A274" s="25">
        <v>256</v>
      </c>
      <c r="B274" s="26" t="s">
        <v>386</v>
      </c>
      <c r="C274" s="26" t="s">
        <v>515</v>
      </c>
      <c r="D274" s="130">
        <v>20</v>
      </c>
      <c r="E274" s="51">
        <v>50</v>
      </c>
      <c r="F274" s="27">
        <v>5</v>
      </c>
      <c r="G274" s="41">
        <f>InventoryList[[#This Row],[NLC (NET LANDING COST]]*InventoryList[[#This Row],[Quantity in stock]]</f>
        <v>100</v>
      </c>
      <c r="H274" s="62"/>
      <c r="I274" s="22"/>
    </row>
    <row r="275" spans="1:9" ht="30" customHeight="1">
      <c r="A275" s="25">
        <v>257</v>
      </c>
      <c r="B275" s="26" t="s">
        <v>387</v>
      </c>
      <c r="C275" s="26" t="s">
        <v>517</v>
      </c>
      <c r="D275" s="130">
        <v>30</v>
      </c>
      <c r="E275" s="51">
        <v>70</v>
      </c>
      <c r="F275" s="27">
        <v>20</v>
      </c>
      <c r="G275" s="41">
        <f>InventoryList[[#This Row],[NLC (NET LANDING COST]]*InventoryList[[#This Row],[Quantity in stock]]</f>
        <v>600</v>
      </c>
      <c r="H275" s="62"/>
      <c r="I275" s="22"/>
    </row>
    <row r="276" spans="1:9" ht="30" customHeight="1">
      <c r="A276" s="25">
        <v>258</v>
      </c>
      <c r="B276" s="26" t="s">
        <v>388</v>
      </c>
      <c r="C276" s="26" t="s">
        <v>518</v>
      </c>
      <c r="D276" s="130">
        <v>30</v>
      </c>
      <c r="E276" s="51">
        <v>70</v>
      </c>
      <c r="F276" s="27">
        <v>20</v>
      </c>
      <c r="G276" s="41">
        <f>InventoryList[[#This Row],[NLC (NET LANDING COST]]*InventoryList[[#This Row],[Quantity in stock]]</f>
        <v>600</v>
      </c>
      <c r="H276" s="62"/>
      <c r="I276" s="22"/>
    </row>
    <row r="277" spans="1:9" ht="30" customHeight="1">
      <c r="A277" s="25">
        <v>259</v>
      </c>
      <c r="B277" s="26" t="s">
        <v>389</v>
      </c>
      <c r="C277" s="26" t="s">
        <v>519</v>
      </c>
      <c r="D277" s="130">
        <v>30</v>
      </c>
      <c r="E277" s="51">
        <v>70</v>
      </c>
      <c r="F277" s="27">
        <v>20</v>
      </c>
      <c r="G277" s="41">
        <f>InventoryList[[#This Row],[NLC (NET LANDING COST]]*InventoryList[[#This Row],[Quantity in stock]]</f>
        <v>600</v>
      </c>
      <c r="H277" s="62"/>
      <c r="I277" s="22"/>
    </row>
    <row r="278" spans="1:9" ht="30" customHeight="1">
      <c r="A278" s="25">
        <v>260</v>
      </c>
      <c r="B278" s="26" t="s">
        <v>390</v>
      </c>
      <c r="C278" s="26" t="s">
        <v>724</v>
      </c>
      <c r="D278" s="130">
        <v>22</v>
      </c>
      <c r="E278" s="51">
        <v>30</v>
      </c>
      <c r="F278" s="27">
        <v>40</v>
      </c>
      <c r="G278" s="41">
        <f>InventoryList[[#This Row],[NLC (NET LANDING COST]]*InventoryList[[#This Row],[Quantity in stock]]</f>
        <v>880</v>
      </c>
      <c r="H278" s="62"/>
      <c r="I278" s="22"/>
    </row>
    <row r="279" spans="1:9" s="10" customFormat="1" ht="30" customHeight="1">
      <c r="A279" s="28" t="s">
        <v>51</v>
      </c>
      <c r="B279" s="29">
        <v>3212</v>
      </c>
      <c r="C279" s="29"/>
      <c r="D279" s="130" t="s">
        <v>120</v>
      </c>
      <c r="E279" s="43"/>
      <c r="F279" s="30"/>
      <c r="G279" s="43"/>
      <c r="H279" s="63">
        <v>9585</v>
      </c>
    </row>
    <row r="280" spans="1:9" ht="30" customHeight="1">
      <c r="A280" s="25">
        <v>261</v>
      </c>
      <c r="B280" s="26" t="s">
        <v>391</v>
      </c>
      <c r="C280" s="79" t="s">
        <v>1229</v>
      </c>
      <c r="D280" s="130">
        <v>1450</v>
      </c>
      <c r="E280" s="51">
        <v>1750</v>
      </c>
      <c r="F280" s="27">
        <v>2</v>
      </c>
      <c r="G280" s="41">
        <f>InventoryList[[#This Row],[NLC (NET LANDING COST]]*InventoryList[[#This Row],[Quantity in stock]]</f>
        <v>2900</v>
      </c>
      <c r="H280" s="62"/>
      <c r="I280" s="22"/>
    </row>
    <row r="281" spans="1:9" ht="30" customHeight="1">
      <c r="A281" s="25">
        <v>262</v>
      </c>
      <c r="B281" s="26" t="s">
        <v>392</v>
      </c>
      <c r="C281" s="79" t="s">
        <v>520</v>
      </c>
      <c r="D281" s="130">
        <v>120</v>
      </c>
      <c r="E281" s="51">
        <v>220</v>
      </c>
      <c r="F281" s="27">
        <v>3</v>
      </c>
      <c r="G281" s="41">
        <f>InventoryList[[#This Row],[NLC (NET LANDING COST]]*InventoryList[[#This Row],[Quantity in stock]]</f>
        <v>360</v>
      </c>
      <c r="H281" s="62"/>
      <c r="I281" s="22"/>
    </row>
    <row r="282" spans="1:9" ht="30" customHeight="1">
      <c r="A282" s="25">
        <v>263</v>
      </c>
      <c r="B282" s="26" t="s">
        <v>393</v>
      </c>
      <c r="C282" s="79" t="s">
        <v>670</v>
      </c>
      <c r="D282" s="130">
        <v>90</v>
      </c>
      <c r="E282" s="51">
        <v>150</v>
      </c>
      <c r="F282" s="27">
        <v>2</v>
      </c>
      <c r="G282" s="41">
        <f>InventoryList[[#This Row],[NLC (NET LANDING COST]]*InventoryList[[#This Row],[Quantity in stock]]</f>
        <v>180</v>
      </c>
      <c r="H282" s="62"/>
      <c r="I282" s="22"/>
    </row>
    <row r="283" spans="1:9" ht="30" customHeight="1">
      <c r="A283" s="25">
        <v>264</v>
      </c>
      <c r="B283" s="26" t="s">
        <v>394</v>
      </c>
      <c r="C283" s="26" t="s">
        <v>672</v>
      </c>
      <c r="D283" s="130">
        <v>430</v>
      </c>
      <c r="E283" s="51">
        <v>650</v>
      </c>
      <c r="F283" s="27">
        <v>2</v>
      </c>
      <c r="G283" s="41">
        <f>InventoryList[[#This Row],[NLC (NET LANDING COST]]*InventoryList[[#This Row],[Quantity in stock]]</f>
        <v>860</v>
      </c>
      <c r="H283" s="62"/>
      <c r="I283" s="22"/>
    </row>
    <row r="284" spans="1:9" ht="30" customHeight="1">
      <c r="A284" s="25">
        <v>265</v>
      </c>
      <c r="B284" s="26" t="s">
        <v>395</v>
      </c>
      <c r="C284" s="26" t="s">
        <v>671</v>
      </c>
      <c r="D284" s="130">
        <v>430</v>
      </c>
      <c r="E284" s="51">
        <v>650</v>
      </c>
      <c r="F284" s="27">
        <v>1</v>
      </c>
      <c r="G284" s="41">
        <f>InventoryList[[#This Row],[NLC (NET LANDING COST]]*InventoryList[[#This Row],[Quantity in stock]]</f>
        <v>430</v>
      </c>
      <c r="H284" s="62"/>
      <c r="I284" s="22"/>
    </row>
    <row r="285" spans="1:9" ht="30" customHeight="1">
      <c r="A285" s="25">
        <v>266</v>
      </c>
      <c r="B285" s="26" t="s">
        <v>396</v>
      </c>
      <c r="C285" s="79" t="s">
        <v>1228</v>
      </c>
      <c r="D285" s="130">
        <v>1750</v>
      </c>
      <c r="E285" s="51">
        <v>1900</v>
      </c>
      <c r="F285" s="27">
        <v>2</v>
      </c>
      <c r="G285" s="41">
        <f>InventoryList[[#This Row],[NLC (NET LANDING COST]]*InventoryList[[#This Row],[Quantity in stock]]</f>
        <v>3500</v>
      </c>
      <c r="H285" s="62"/>
      <c r="I285" s="22"/>
    </row>
    <row r="286" spans="1:9" ht="30" customHeight="1">
      <c r="A286" s="25">
        <v>267</v>
      </c>
      <c r="B286" s="26" t="s">
        <v>397</v>
      </c>
      <c r="C286" s="26" t="s">
        <v>521</v>
      </c>
      <c r="D286" s="130">
        <v>38</v>
      </c>
      <c r="E286" s="51">
        <v>80</v>
      </c>
      <c r="F286" s="27">
        <v>5</v>
      </c>
      <c r="G286" s="41">
        <f>InventoryList[[#This Row],[NLC (NET LANDING COST]]*InventoryList[[#This Row],[Quantity in stock]]</f>
        <v>190</v>
      </c>
      <c r="H286" s="62"/>
      <c r="I286" s="22"/>
    </row>
    <row r="287" spans="1:9" ht="30" customHeight="1">
      <c r="A287" s="25">
        <v>268</v>
      </c>
      <c r="B287" s="26" t="s">
        <v>398</v>
      </c>
      <c r="C287" s="26" t="s">
        <v>523</v>
      </c>
      <c r="D287" s="130">
        <v>1500</v>
      </c>
      <c r="E287" s="51"/>
      <c r="F287" s="27">
        <v>1</v>
      </c>
      <c r="G287" s="41">
        <f>InventoryList[[#This Row],[NLC (NET LANDING COST]]*InventoryList[[#This Row],[Quantity in stock]]</f>
        <v>1500</v>
      </c>
      <c r="H287" s="62"/>
      <c r="I287" s="22"/>
    </row>
    <row r="288" spans="1:9" ht="30" customHeight="1">
      <c r="A288" s="25">
        <v>269</v>
      </c>
      <c r="B288" s="26" t="s">
        <v>399</v>
      </c>
      <c r="C288" s="26" t="s">
        <v>718</v>
      </c>
      <c r="D288" s="130">
        <v>45</v>
      </c>
      <c r="E288" s="51">
        <v>100</v>
      </c>
      <c r="F288" s="27">
        <v>0</v>
      </c>
      <c r="G288" s="41">
        <v>0</v>
      </c>
      <c r="H288" s="62"/>
      <c r="I288" s="22"/>
    </row>
    <row r="289" spans="1:10" ht="30" customHeight="1">
      <c r="A289" s="25">
        <v>270</v>
      </c>
      <c r="B289" s="26" t="s">
        <v>400</v>
      </c>
      <c r="C289" s="26" t="s">
        <v>719</v>
      </c>
      <c r="D289" s="130">
        <v>65</v>
      </c>
      <c r="E289" s="51">
        <v>150</v>
      </c>
      <c r="F289" s="27">
        <v>0</v>
      </c>
      <c r="G289" s="41">
        <v>0</v>
      </c>
      <c r="H289" s="62"/>
      <c r="I289" s="22"/>
    </row>
    <row r="290" spans="1:10" s="10" customFormat="1" ht="30" customHeight="1">
      <c r="A290" s="28" t="s">
        <v>51</v>
      </c>
      <c r="B290" s="29">
        <v>3220</v>
      </c>
      <c r="C290" s="29"/>
      <c r="D290" s="130" t="s">
        <v>120</v>
      </c>
      <c r="E290" s="43"/>
      <c r="F290" s="30" t="s">
        <v>323</v>
      </c>
      <c r="G290" s="43">
        <v>1500</v>
      </c>
      <c r="H290" s="13">
        <v>9920</v>
      </c>
    </row>
    <row r="291" spans="1:10" s="10" customFormat="1" ht="30" customHeight="1">
      <c r="A291" s="31" t="s">
        <v>320</v>
      </c>
      <c r="B291" s="32">
        <v>45839</v>
      </c>
      <c r="C291" s="33" t="s">
        <v>525</v>
      </c>
      <c r="D291" s="131" t="s">
        <v>321</v>
      </c>
      <c r="E291" s="52"/>
      <c r="F291" s="34" t="s">
        <v>522</v>
      </c>
      <c r="G291" s="75"/>
      <c r="H291" s="64"/>
      <c r="I291" s="44">
        <v>92295</v>
      </c>
      <c r="J291" s="15" t="s">
        <v>524</v>
      </c>
    </row>
    <row r="292" spans="1:10" ht="30" customHeight="1">
      <c r="A292" s="25">
        <v>271</v>
      </c>
      <c r="B292" s="26" t="s">
        <v>401</v>
      </c>
      <c r="C292" s="26" t="s">
        <v>526</v>
      </c>
      <c r="D292" s="130">
        <v>30</v>
      </c>
      <c r="E292" s="51">
        <v>60</v>
      </c>
      <c r="F292" s="27">
        <v>50</v>
      </c>
      <c r="G292" s="41">
        <f>InventoryList[[#This Row],[NLC (NET LANDING COST]]*InventoryList[[#This Row],[Quantity in stock]]</f>
        <v>1500</v>
      </c>
      <c r="H292" s="62"/>
      <c r="I292" s="22"/>
    </row>
    <row r="293" spans="1:10" ht="30" customHeight="1">
      <c r="A293" s="25">
        <v>272</v>
      </c>
      <c r="B293" s="26" t="s">
        <v>402</v>
      </c>
      <c r="C293" s="26" t="s">
        <v>527</v>
      </c>
      <c r="D293" s="130">
        <v>1450</v>
      </c>
      <c r="E293" s="51">
        <v>1750</v>
      </c>
      <c r="F293" s="27">
        <v>2</v>
      </c>
      <c r="G293" s="41">
        <f>InventoryList[[#This Row],[NLC (NET LANDING COST]]*InventoryList[[#This Row],[Quantity in stock]]</f>
        <v>2900</v>
      </c>
      <c r="H293" s="62"/>
      <c r="I293" s="22"/>
    </row>
    <row r="294" spans="1:10" ht="30" customHeight="1">
      <c r="A294" s="25">
        <v>273</v>
      </c>
      <c r="B294" s="26" t="s">
        <v>403</v>
      </c>
      <c r="C294" s="26" t="s">
        <v>529</v>
      </c>
      <c r="D294" s="130">
        <v>15</v>
      </c>
      <c r="E294" s="51">
        <v>35</v>
      </c>
      <c r="F294" s="27">
        <v>10</v>
      </c>
      <c r="G294" s="41">
        <f>InventoryList[[#This Row],[NLC (NET LANDING COST]]*InventoryList[[#This Row],[Quantity in stock]]</f>
        <v>150</v>
      </c>
      <c r="H294" s="62"/>
      <c r="I294" s="22"/>
    </row>
    <row r="295" spans="1:10" ht="30" customHeight="1">
      <c r="A295" s="25">
        <v>274</v>
      </c>
      <c r="B295" s="26" t="s">
        <v>404</v>
      </c>
      <c r="C295" s="26" t="s">
        <v>528</v>
      </c>
      <c r="D295" s="130">
        <v>25</v>
      </c>
      <c r="E295" s="51">
        <v>50</v>
      </c>
      <c r="F295" s="27">
        <v>10</v>
      </c>
      <c r="G295" s="41">
        <f>InventoryList[[#This Row],[NLC (NET LANDING COST]]*InventoryList[[#This Row],[Quantity in stock]]</f>
        <v>250</v>
      </c>
      <c r="H295" s="62"/>
      <c r="I295" s="22"/>
    </row>
    <row r="296" spans="1:10" ht="30" customHeight="1">
      <c r="A296" s="25">
        <v>275</v>
      </c>
      <c r="B296" s="26" t="s">
        <v>405</v>
      </c>
      <c r="C296" s="26" t="s">
        <v>530</v>
      </c>
      <c r="D296" s="130">
        <v>20</v>
      </c>
      <c r="E296" s="51">
        <v>55</v>
      </c>
      <c r="F296" s="27">
        <v>10</v>
      </c>
      <c r="G296" s="41">
        <f>InventoryList[[#This Row],[NLC (NET LANDING COST]]*InventoryList[[#This Row],[Quantity in stock]]</f>
        <v>200</v>
      </c>
      <c r="H296" s="62"/>
      <c r="I296" s="22"/>
    </row>
    <row r="297" spans="1:10" ht="30" customHeight="1">
      <c r="A297" s="25">
        <v>276</v>
      </c>
      <c r="B297" s="26" t="s">
        <v>406</v>
      </c>
      <c r="C297" s="26" t="s">
        <v>531</v>
      </c>
      <c r="D297" s="130">
        <v>32</v>
      </c>
      <c r="E297" s="51">
        <v>60</v>
      </c>
      <c r="F297" s="27">
        <v>10</v>
      </c>
      <c r="G297" s="41">
        <f>InventoryList[[#This Row],[NLC (NET LANDING COST]]*InventoryList[[#This Row],[Quantity in stock]]</f>
        <v>320</v>
      </c>
      <c r="H297" s="62"/>
      <c r="I297" s="22"/>
    </row>
    <row r="298" spans="1:10" ht="30" customHeight="1">
      <c r="A298" s="25">
        <v>277</v>
      </c>
      <c r="B298" s="26" t="s">
        <v>407</v>
      </c>
      <c r="C298" s="26" t="s">
        <v>532</v>
      </c>
      <c r="D298" s="130">
        <v>50</v>
      </c>
      <c r="E298" s="51">
        <v>80</v>
      </c>
      <c r="F298" s="27">
        <v>10</v>
      </c>
      <c r="G298" s="41">
        <f>InventoryList[[#This Row],[NLC (NET LANDING COST]]*InventoryList[[#This Row],[Quantity in stock]]</f>
        <v>500</v>
      </c>
      <c r="H298" s="62"/>
      <c r="I298" s="22"/>
    </row>
    <row r="299" spans="1:10" ht="30" customHeight="1">
      <c r="A299" s="25">
        <v>278</v>
      </c>
      <c r="B299" s="26" t="s">
        <v>408</v>
      </c>
      <c r="C299" s="26" t="s">
        <v>674</v>
      </c>
      <c r="D299" s="130">
        <v>15</v>
      </c>
      <c r="E299" s="51">
        <v>35</v>
      </c>
      <c r="F299" s="27">
        <v>10</v>
      </c>
      <c r="G299" s="41">
        <f>InventoryList[[#This Row],[NLC (NET LANDING COST]]*InventoryList[[#This Row],[Quantity in stock]]</f>
        <v>150</v>
      </c>
      <c r="H299" s="62"/>
      <c r="I299" s="22"/>
    </row>
    <row r="300" spans="1:10" ht="30" customHeight="1">
      <c r="A300" s="25">
        <v>279</v>
      </c>
      <c r="B300" s="26" t="s">
        <v>409</v>
      </c>
      <c r="C300" s="26" t="s">
        <v>673</v>
      </c>
      <c r="D300" s="130">
        <v>20</v>
      </c>
      <c r="E300" s="51">
        <v>45</v>
      </c>
      <c r="F300" s="27">
        <v>10</v>
      </c>
      <c r="G300" s="41">
        <f>InventoryList[[#This Row],[NLC (NET LANDING COST]]*InventoryList[[#This Row],[Quantity in stock]]</f>
        <v>200</v>
      </c>
      <c r="H300" s="62"/>
      <c r="I300" s="22"/>
    </row>
    <row r="301" spans="1:10" ht="30" customHeight="1">
      <c r="A301" s="25">
        <v>280</v>
      </c>
      <c r="B301" s="26" t="s">
        <v>410</v>
      </c>
      <c r="C301" s="26" t="s">
        <v>533</v>
      </c>
      <c r="D301" s="130">
        <v>16</v>
      </c>
      <c r="E301" s="51">
        <v>35</v>
      </c>
      <c r="F301" s="27">
        <v>10</v>
      </c>
      <c r="G301" s="41">
        <f>InventoryList[[#This Row],[NLC (NET LANDING COST]]*InventoryList[[#This Row],[Quantity in stock]]</f>
        <v>160</v>
      </c>
      <c r="H301" s="62"/>
      <c r="I301" s="22"/>
    </row>
    <row r="302" spans="1:10" ht="30" customHeight="1">
      <c r="A302" s="25">
        <v>281</v>
      </c>
      <c r="B302" s="26" t="s">
        <v>411</v>
      </c>
      <c r="C302" s="26" t="s">
        <v>534</v>
      </c>
      <c r="D302" s="130">
        <v>24</v>
      </c>
      <c r="E302" s="51">
        <v>50</v>
      </c>
      <c r="F302" s="27">
        <v>10</v>
      </c>
      <c r="G302" s="41">
        <f>InventoryList[[#This Row],[NLC (NET LANDING COST]]*InventoryList[[#This Row],[Quantity in stock]]</f>
        <v>240</v>
      </c>
      <c r="H302" s="62"/>
      <c r="I302" s="22"/>
    </row>
    <row r="303" spans="1:10" ht="30" customHeight="1">
      <c r="A303" s="25">
        <v>282</v>
      </c>
      <c r="B303" s="26" t="s">
        <v>412</v>
      </c>
      <c r="C303" s="26" t="s">
        <v>535</v>
      </c>
      <c r="D303" s="130">
        <v>28</v>
      </c>
      <c r="E303" s="51">
        <v>55</v>
      </c>
      <c r="F303" s="27">
        <v>10</v>
      </c>
      <c r="G303" s="41">
        <f>InventoryList[[#This Row],[NLC (NET LANDING COST]]*InventoryList[[#This Row],[Quantity in stock]]</f>
        <v>280</v>
      </c>
      <c r="H303" s="62"/>
      <c r="I303" s="22"/>
    </row>
    <row r="304" spans="1:10" ht="30" customHeight="1">
      <c r="A304" s="25">
        <v>283</v>
      </c>
      <c r="B304" s="26" t="s">
        <v>413</v>
      </c>
      <c r="C304" s="26" t="s">
        <v>536</v>
      </c>
      <c r="D304" s="130">
        <v>140</v>
      </c>
      <c r="E304" s="51">
        <v>220</v>
      </c>
      <c r="F304" s="27">
        <v>5</v>
      </c>
      <c r="G304" s="41">
        <f>InventoryList[[#This Row],[NLC (NET LANDING COST]]*InventoryList[[#This Row],[Quantity in stock]]</f>
        <v>700</v>
      </c>
      <c r="H304" s="62"/>
      <c r="I304" s="22"/>
    </row>
    <row r="305" spans="1:9" ht="30" customHeight="1">
      <c r="A305" s="25">
        <v>284</v>
      </c>
      <c r="B305" s="26" t="s">
        <v>414</v>
      </c>
      <c r="C305" s="26" t="s">
        <v>675</v>
      </c>
      <c r="D305" s="130">
        <v>75</v>
      </c>
      <c r="E305" s="51">
        <v>130</v>
      </c>
      <c r="F305" s="27">
        <v>10</v>
      </c>
      <c r="G305" s="41">
        <f>InventoryList[[#This Row],[NLC (NET LANDING COST]]*InventoryList[[#This Row],[Quantity in stock]]</f>
        <v>750</v>
      </c>
      <c r="H305" s="62"/>
      <c r="I305" s="22"/>
    </row>
    <row r="306" spans="1:9" ht="30" customHeight="1">
      <c r="A306" s="25">
        <v>285</v>
      </c>
      <c r="B306" s="26" t="s">
        <v>415</v>
      </c>
      <c r="C306" s="26" t="s">
        <v>537</v>
      </c>
      <c r="D306" s="130">
        <v>30</v>
      </c>
      <c r="E306" s="51">
        <v>60</v>
      </c>
      <c r="F306" s="27">
        <v>10</v>
      </c>
      <c r="G306" s="41">
        <f>InventoryList[[#This Row],[NLC (NET LANDING COST]]*InventoryList[[#This Row],[Quantity in stock]]</f>
        <v>300</v>
      </c>
      <c r="H306" s="62"/>
      <c r="I306" s="22"/>
    </row>
    <row r="307" spans="1:9" ht="30" customHeight="1">
      <c r="A307" s="25">
        <v>286</v>
      </c>
      <c r="B307" s="26" t="s">
        <v>416</v>
      </c>
      <c r="C307" s="26" t="s">
        <v>676</v>
      </c>
      <c r="D307" s="130">
        <v>30</v>
      </c>
      <c r="E307" s="51">
        <v>80</v>
      </c>
      <c r="F307" s="27">
        <v>10</v>
      </c>
      <c r="G307" s="41">
        <f>InventoryList[[#This Row],[NLC (NET LANDING COST]]*InventoryList[[#This Row],[Quantity in stock]]</f>
        <v>300</v>
      </c>
      <c r="H307" s="62"/>
      <c r="I307" s="22"/>
    </row>
    <row r="308" spans="1:9" ht="30" customHeight="1">
      <c r="A308" s="25">
        <v>287</v>
      </c>
      <c r="B308" s="26" t="s">
        <v>417</v>
      </c>
      <c r="C308" s="26" t="s">
        <v>677</v>
      </c>
      <c r="D308" s="130">
        <v>40</v>
      </c>
      <c r="E308" s="51">
        <v>80</v>
      </c>
      <c r="F308" s="27">
        <v>10</v>
      </c>
      <c r="G308" s="41">
        <f>InventoryList[[#This Row],[NLC (NET LANDING COST]]*InventoryList[[#This Row],[Quantity in stock]]</f>
        <v>400</v>
      </c>
      <c r="H308" s="62"/>
      <c r="I308" s="22"/>
    </row>
    <row r="309" spans="1:9" ht="30" customHeight="1">
      <c r="A309" s="25">
        <v>288</v>
      </c>
      <c r="B309" s="26" t="s">
        <v>418</v>
      </c>
      <c r="C309" s="26" t="s">
        <v>678</v>
      </c>
      <c r="D309" s="130">
        <v>40</v>
      </c>
      <c r="E309" s="51">
        <v>80</v>
      </c>
      <c r="F309" s="27">
        <v>10</v>
      </c>
      <c r="G309" s="41">
        <f>InventoryList[[#This Row],[NLC (NET LANDING COST]]*InventoryList[[#This Row],[Quantity in stock]]</f>
        <v>400</v>
      </c>
      <c r="H309" s="62"/>
      <c r="I309" s="22"/>
    </row>
    <row r="310" spans="1:9" ht="30" customHeight="1">
      <c r="A310" s="25">
        <v>289</v>
      </c>
      <c r="B310" s="26" t="s">
        <v>419</v>
      </c>
      <c r="C310" s="26" t="s">
        <v>538</v>
      </c>
      <c r="D310" s="130">
        <v>42</v>
      </c>
      <c r="E310" s="51">
        <v>90</v>
      </c>
      <c r="F310" s="27">
        <v>37</v>
      </c>
      <c r="G310" s="41">
        <f>InventoryList[[#This Row],[NLC (NET LANDING COST]]*InventoryList[[#This Row],[Quantity in stock]]</f>
        <v>1554</v>
      </c>
      <c r="H310" s="62"/>
      <c r="I310" s="22"/>
    </row>
    <row r="311" spans="1:9" ht="30" customHeight="1">
      <c r="A311" s="25">
        <v>290</v>
      </c>
      <c r="B311" s="26" t="s">
        <v>420</v>
      </c>
      <c r="C311" s="26">
        <v>0</v>
      </c>
      <c r="D311" s="130">
        <v>0</v>
      </c>
      <c r="E311" s="51"/>
      <c r="F311" s="27">
        <v>0</v>
      </c>
      <c r="G311" s="41">
        <f>InventoryList[[#This Row],[NLC (NET LANDING COST]]*InventoryList[[#This Row],[Quantity in stock]]</f>
        <v>0</v>
      </c>
      <c r="H311" s="62"/>
      <c r="I311" s="22"/>
    </row>
    <row r="312" spans="1:9" s="10" customFormat="1" ht="30" customHeight="1">
      <c r="A312" s="28" t="s">
        <v>51</v>
      </c>
      <c r="B312" s="29">
        <v>6801</v>
      </c>
      <c r="C312" s="29"/>
      <c r="D312" s="130" t="s">
        <v>120</v>
      </c>
      <c r="E312" s="43"/>
      <c r="F312" s="30"/>
      <c r="G312" s="67"/>
      <c r="H312" s="43">
        <v>10120</v>
      </c>
    </row>
    <row r="313" spans="1:9" ht="30" customHeight="1">
      <c r="A313" s="25">
        <v>291</v>
      </c>
      <c r="B313" s="26" t="s">
        <v>421</v>
      </c>
      <c r="C313" s="26" t="s">
        <v>679</v>
      </c>
      <c r="D313" s="130">
        <v>32</v>
      </c>
      <c r="E313" s="51">
        <v>65</v>
      </c>
      <c r="F313" s="27">
        <v>10</v>
      </c>
      <c r="G313" s="41">
        <f>InventoryList[[#This Row],[NLC (NET LANDING COST]]*InventoryList[[#This Row],[Quantity in stock]]</f>
        <v>320</v>
      </c>
      <c r="H313" s="62"/>
      <c r="I313" s="22"/>
    </row>
    <row r="314" spans="1:9" ht="30" customHeight="1">
      <c r="A314" s="25">
        <v>292</v>
      </c>
      <c r="B314" s="26" t="s">
        <v>422</v>
      </c>
      <c r="C314" s="26" t="s">
        <v>680</v>
      </c>
      <c r="D314" s="130">
        <v>32</v>
      </c>
      <c r="E314" s="51">
        <v>65</v>
      </c>
      <c r="F314" s="27">
        <v>10</v>
      </c>
      <c r="G314" s="41">
        <f>InventoryList[[#This Row],[NLC (NET LANDING COST]]*InventoryList[[#This Row],[Quantity in stock]]</f>
        <v>320</v>
      </c>
      <c r="H314" s="62"/>
      <c r="I314" s="22"/>
    </row>
    <row r="315" spans="1:9" ht="30" customHeight="1">
      <c r="A315" s="25">
        <v>293</v>
      </c>
      <c r="B315" s="26" t="s">
        <v>423</v>
      </c>
      <c r="C315" s="26" t="s">
        <v>681</v>
      </c>
      <c r="D315" s="130">
        <v>32</v>
      </c>
      <c r="E315" s="51">
        <v>65</v>
      </c>
      <c r="F315" s="27">
        <v>10</v>
      </c>
      <c r="G315" s="41">
        <f>InventoryList[[#This Row],[NLC (NET LANDING COST]]*InventoryList[[#This Row],[Quantity in stock]]</f>
        <v>320</v>
      </c>
      <c r="H315" s="62"/>
      <c r="I315" s="22"/>
    </row>
    <row r="316" spans="1:9" ht="30" customHeight="1">
      <c r="A316" s="25">
        <v>294</v>
      </c>
      <c r="B316" s="26" t="s">
        <v>424</v>
      </c>
      <c r="C316" s="26" t="s">
        <v>682</v>
      </c>
      <c r="D316" s="130">
        <v>36</v>
      </c>
      <c r="E316" s="51">
        <v>70</v>
      </c>
      <c r="F316" s="27">
        <v>10</v>
      </c>
      <c r="G316" s="41">
        <f>InventoryList[[#This Row],[NLC (NET LANDING COST]]*InventoryList[[#This Row],[Quantity in stock]]</f>
        <v>360</v>
      </c>
      <c r="H316" s="62"/>
      <c r="I316" s="22"/>
    </row>
    <row r="317" spans="1:9" ht="30" customHeight="1">
      <c r="A317" s="25">
        <v>295</v>
      </c>
      <c r="B317" s="26" t="s">
        <v>425</v>
      </c>
      <c r="C317" s="26" t="s">
        <v>683</v>
      </c>
      <c r="D317" s="130">
        <v>40</v>
      </c>
      <c r="E317" s="51">
        <v>80</v>
      </c>
      <c r="F317" s="27">
        <v>10</v>
      </c>
      <c r="G317" s="41">
        <f>InventoryList[[#This Row],[NLC (NET LANDING COST]]*InventoryList[[#This Row],[Quantity in stock]]</f>
        <v>400</v>
      </c>
      <c r="H317" s="62"/>
      <c r="I317" s="22"/>
    </row>
    <row r="318" spans="1:9" ht="30" customHeight="1">
      <c r="A318" s="25">
        <v>296</v>
      </c>
      <c r="B318" s="26" t="s">
        <v>426</v>
      </c>
      <c r="C318" s="26" t="s">
        <v>684</v>
      </c>
      <c r="D318" s="130">
        <v>23</v>
      </c>
      <c r="E318" s="51">
        <v>60</v>
      </c>
      <c r="F318" s="27">
        <v>10</v>
      </c>
      <c r="G318" s="41">
        <f>InventoryList[[#This Row],[NLC (NET LANDING COST]]*InventoryList[[#This Row],[Quantity in stock]]</f>
        <v>230</v>
      </c>
      <c r="H318" s="62"/>
      <c r="I318" s="22"/>
    </row>
    <row r="319" spans="1:9" ht="30" customHeight="1">
      <c r="A319" s="25">
        <v>297</v>
      </c>
      <c r="B319" s="26" t="s">
        <v>427</v>
      </c>
      <c r="C319" s="26" t="s">
        <v>685</v>
      </c>
      <c r="D319" s="130">
        <v>28</v>
      </c>
      <c r="E319" s="51">
        <v>70</v>
      </c>
      <c r="F319" s="27">
        <v>10</v>
      </c>
      <c r="G319" s="41">
        <f>InventoryList[[#This Row],[NLC (NET LANDING COST]]*InventoryList[[#This Row],[Quantity in stock]]</f>
        <v>280</v>
      </c>
      <c r="H319" s="62"/>
      <c r="I319" s="22"/>
    </row>
    <row r="320" spans="1:9" ht="30" customHeight="1">
      <c r="A320" s="25">
        <v>298</v>
      </c>
      <c r="B320" s="26" t="s">
        <v>428</v>
      </c>
      <c r="C320" s="26" t="s">
        <v>686</v>
      </c>
      <c r="D320" s="130">
        <v>50</v>
      </c>
      <c r="E320" s="51">
        <v>90</v>
      </c>
      <c r="F320" s="27">
        <v>10</v>
      </c>
      <c r="G320" s="41">
        <f>InventoryList[[#This Row],[NLC (NET LANDING COST]]*InventoryList[[#This Row],[Quantity in stock]]</f>
        <v>500</v>
      </c>
      <c r="H320" s="62"/>
      <c r="I320" s="22"/>
    </row>
    <row r="321" spans="1:9" ht="30" customHeight="1">
      <c r="A321" s="25">
        <v>299</v>
      </c>
      <c r="B321" s="26" t="s">
        <v>429</v>
      </c>
      <c r="C321" s="26" t="s">
        <v>687</v>
      </c>
      <c r="D321" s="130">
        <v>90</v>
      </c>
      <c r="E321" s="51">
        <v>150</v>
      </c>
      <c r="F321" s="27">
        <v>5</v>
      </c>
      <c r="G321" s="41">
        <f>InventoryList[[#This Row],[NLC (NET LANDING COST]]*InventoryList[[#This Row],[Quantity in stock]]</f>
        <v>450</v>
      </c>
      <c r="H321" s="62"/>
      <c r="I321" s="22"/>
    </row>
    <row r="322" spans="1:9" ht="30" customHeight="1">
      <c r="A322" s="25">
        <v>300</v>
      </c>
      <c r="B322" s="26" t="s">
        <v>430</v>
      </c>
      <c r="C322" s="26" t="s">
        <v>688</v>
      </c>
      <c r="D322" s="130">
        <v>90</v>
      </c>
      <c r="E322" s="51">
        <v>160</v>
      </c>
      <c r="F322" s="27">
        <v>5</v>
      </c>
      <c r="G322" s="41">
        <f>InventoryList[[#This Row],[NLC (NET LANDING COST]]*InventoryList[[#This Row],[Quantity in stock]]</f>
        <v>450</v>
      </c>
      <c r="H322" s="62"/>
      <c r="I322" s="22"/>
    </row>
    <row r="323" spans="1:9" ht="30" customHeight="1">
      <c r="A323" s="25">
        <v>301</v>
      </c>
      <c r="B323" s="26" t="s">
        <v>431</v>
      </c>
      <c r="C323" s="26" t="s">
        <v>689</v>
      </c>
      <c r="D323" s="130">
        <v>90</v>
      </c>
      <c r="E323" s="51">
        <v>160</v>
      </c>
      <c r="F323" s="27">
        <v>5</v>
      </c>
      <c r="G323" s="41">
        <f>InventoryList[[#This Row],[NLC (NET LANDING COST]]*InventoryList[[#This Row],[Quantity in stock]]</f>
        <v>450</v>
      </c>
      <c r="H323" s="62"/>
      <c r="I323" s="22"/>
    </row>
    <row r="324" spans="1:9" ht="30" customHeight="1">
      <c r="A324" s="25">
        <v>302</v>
      </c>
      <c r="B324" s="26" t="s">
        <v>432</v>
      </c>
      <c r="C324" s="26" t="s">
        <v>690</v>
      </c>
      <c r="D324" s="130">
        <v>95</v>
      </c>
      <c r="E324" s="51">
        <v>170</v>
      </c>
      <c r="F324" s="27">
        <v>5</v>
      </c>
      <c r="G324" s="41">
        <f>InventoryList[[#This Row],[NLC (NET LANDING COST]]*InventoryList[[#This Row],[Quantity in stock]]</f>
        <v>475</v>
      </c>
      <c r="H324" s="62"/>
      <c r="I324" s="22"/>
    </row>
    <row r="325" spans="1:9" ht="30" customHeight="1">
      <c r="A325" s="25">
        <v>303</v>
      </c>
      <c r="B325" s="26" t="s">
        <v>433</v>
      </c>
      <c r="C325" s="26" t="s">
        <v>691</v>
      </c>
      <c r="D325" s="130">
        <v>18</v>
      </c>
      <c r="E325" s="51">
        <v>50</v>
      </c>
      <c r="F325" s="27">
        <v>5</v>
      </c>
      <c r="G325" s="41">
        <f>InventoryList[[#This Row],[NLC (NET LANDING COST]]*InventoryList[[#This Row],[Quantity in stock]]</f>
        <v>90</v>
      </c>
      <c r="H325" s="62"/>
      <c r="I325" s="22"/>
    </row>
    <row r="326" spans="1:9" ht="30" customHeight="1">
      <c r="A326" s="25">
        <v>304</v>
      </c>
      <c r="B326" s="26" t="s">
        <v>434</v>
      </c>
      <c r="C326" s="26" t="s">
        <v>539</v>
      </c>
      <c r="D326" s="130">
        <v>180</v>
      </c>
      <c r="E326" s="51">
        <v>300</v>
      </c>
      <c r="F326" s="27">
        <v>5</v>
      </c>
      <c r="G326" s="41">
        <f>InventoryList[[#This Row],[NLC (NET LANDING COST]]*InventoryList[[#This Row],[Quantity in stock]]</f>
        <v>900</v>
      </c>
      <c r="H326" s="62"/>
      <c r="I326" s="22"/>
    </row>
    <row r="327" spans="1:9" ht="30" customHeight="1">
      <c r="A327" s="25">
        <v>305</v>
      </c>
      <c r="B327" s="26" t="s">
        <v>435</v>
      </c>
      <c r="C327" s="26" t="s">
        <v>540</v>
      </c>
      <c r="D327" s="130">
        <v>150</v>
      </c>
      <c r="E327" s="51">
        <v>250</v>
      </c>
      <c r="F327" s="27">
        <v>5</v>
      </c>
      <c r="G327" s="41">
        <f>InventoryList[[#This Row],[NLC (NET LANDING COST]]*InventoryList[[#This Row],[Quantity in stock]]</f>
        <v>750</v>
      </c>
      <c r="H327" s="62"/>
      <c r="I327" s="22"/>
    </row>
    <row r="328" spans="1:9" ht="30" customHeight="1">
      <c r="A328" s="25">
        <v>306</v>
      </c>
      <c r="B328" s="26" t="s">
        <v>436</v>
      </c>
      <c r="C328" s="26" t="s">
        <v>692</v>
      </c>
      <c r="D328" s="130">
        <v>100</v>
      </c>
      <c r="E328" s="51">
        <v>150</v>
      </c>
      <c r="F328" s="27">
        <v>5</v>
      </c>
      <c r="G328" s="41">
        <f>InventoryList[[#This Row],[NLC (NET LANDING COST]]*InventoryList[[#This Row],[Quantity in stock]]</f>
        <v>500</v>
      </c>
      <c r="H328" s="62"/>
      <c r="I328" s="22"/>
    </row>
    <row r="329" spans="1:9" ht="30" customHeight="1">
      <c r="A329" s="25">
        <v>307</v>
      </c>
      <c r="B329" s="26" t="s">
        <v>437</v>
      </c>
      <c r="C329" s="26" t="s">
        <v>541</v>
      </c>
      <c r="D329" s="130">
        <v>110</v>
      </c>
      <c r="E329" s="51">
        <v>250</v>
      </c>
      <c r="F329" s="27">
        <v>6</v>
      </c>
      <c r="G329" s="41">
        <f>InventoryList[[#This Row],[NLC (NET LANDING COST]]*InventoryList[[#This Row],[Quantity in stock]]</f>
        <v>660</v>
      </c>
      <c r="H329" s="62"/>
      <c r="I329" s="22"/>
    </row>
    <row r="330" spans="1:9" ht="30" customHeight="1">
      <c r="A330" s="25">
        <v>308</v>
      </c>
      <c r="B330" s="26" t="s">
        <v>438</v>
      </c>
      <c r="C330" s="26" t="s">
        <v>693</v>
      </c>
      <c r="D330" s="130">
        <v>100</v>
      </c>
      <c r="E330" s="51">
        <v>170</v>
      </c>
      <c r="F330" s="27">
        <v>5</v>
      </c>
      <c r="G330" s="41">
        <f>InventoryList[[#This Row],[NLC (NET LANDING COST]]*InventoryList[[#This Row],[Quantity in stock]]</f>
        <v>500</v>
      </c>
      <c r="H330" s="62"/>
      <c r="I330" s="22"/>
    </row>
    <row r="331" spans="1:9" ht="30" customHeight="1">
      <c r="A331" s="25">
        <v>309</v>
      </c>
      <c r="B331" s="26" t="s">
        <v>439</v>
      </c>
      <c r="C331" s="26" t="s">
        <v>694</v>
      </c>
      <c r="D331" s="130">
        <v>75</v>
      </c>
      <c r="E331" s="51">
        <v>150</v>
      </c>
      <c r="F331" s="27">
        <v>5</v>
      </c>
      <c r="G331" s="41">
        <f>InventoryList[[#This Row],[NLC (NET LANDING COST]]*InventoryList[[#This Row],[Quantity in stock]]</f>
        <v>375</v>
      </c>
      <c r="H331" s="62"/>
      <c r="I331" s="22"/>
    </row>
    <row r="332" spans="1:9" ht="30" customHeight="1">
      <c r="A332" s="25">
        <v>310</v>
      </c>
      <c r="B332" s="26" t="s">
        <v>440</v>
      </c>
      <c r="C332" s="26" t="s">
        <v>695</v>
      </c>
      <c r="D332" s="130">
        <v>85</v>
      </c>
      <c r="E332" s="51">
        <v>160</v>
      </c>
      <c r="F332" s="27">
        <v>5</v>
      </c>
      <c r="G332" s="41">
        <f>InventoryList[[#This Row],[NLC (NET LANDING COST]]*InventoryList[[#This Row],[Quantity in stock]]</f>
        <v>425</v>
      </c>
      <c r="H332" s="62"/>
      <c r="I332" s="22"/>
    </row>
    <row r="333" spans="1:9" s="10" customFormat="1" ht="30" customHeight="1">
      <c r="A333" s="28" t="s">
        <v>51</v>
      </c>
      <c r="B333" s="29">
        <v>6802</v>
      </c>
      <c r="C333" s="29"/>
      <c r="D333" s="130" t="s">
        <v>120</v>
      </c>
      <c r="E333" s="43"/>
      <c r="F333" s="30"/>
      <c r="G333" s="43"/>
      <c r="H333" s="13">
        <v>8755</v>
      </c>
    </row>
    <row r="334" spans="1:9" ht="30" customHeight="1">
      <c r="A334" s="25">
        <v>311</v>
      </c>
      <c r="B334" s="26" t="s">
        <v>441</v>
      </c>
      <c r="C334" s="26" t="s">
        <v>696</v>
      </c>
      <c r="D334" s="130">
        <v>125</v>
      </c>
      <c r="E334" s="51">
        <v>160</v>
      </c>
      <c r="F334" s="27">
        <v>5</v>
      </c>
      <c r="G334" s="41">
        <f>InventoryList[[#This Row],[NLC (NET LANDING COST]]*InventoryList[[#This Row],[Quantity in stock]]</f>
        <v>625</v>
      </c>
      <c r="H334" s="62"/>
      <c r="I334" s="22"/>
    </row>
    <row r="335" spans="1:9" ht="30" customHeight="1">
      <c r="A335" s="25">
        <v>312</v>
      </c>
      <c r="B335" s="26" t="s">
        <v>442</v>
      </c>
      <c r="C335" s="26" t="s">
        <v>697</v>
      </c>
      <c r="D335" s="130">
        <v>145</v>
      </c>
      <c r="E335" s="51">
        <v>180</v>
      </c>
      <c r="F335" s="27">
        <v>5</v>
      </c>
      <c r="G335" s="41">
        <f>InventoryList[[#This Row],[NLC (NET LANDING COST]]*InventoryList[[#This Row],[Quantity in stock]]</f>
        <v>725</v>
      </c>
      <c r="H335" s="62"/>
      <c r="I335" s="22"/>
    </row>
    <row r="336" spans="1:9" ht="30" customHeight="1">
      <c r="A336" s="25">
        <v>313</v>
      </c>
      <c r="B336" s="26" t="s">
        <v>443</v>
      </c>
      <c r="C336" s="26" t="s">
        <v>698</v>
      </c>
      <c r="D336" s="130">
        <v>140</v>
      </c>
      <c r="E336" s="51">
        <v>170</v>
      </c>
      <c r="F336" s="27">
        <v>5</v>
      </c>
      <c r="G336" s="41">
        <f>InventoryList[[#This Row],[NLC (NET LANDING COST]]*InventoryList[[#This Row],[Quantity in stock]]</f>
        <v>700</v>
      </c>
      <c r="H336" s="62"/>
      <c r="I336" s="22"/>
    </row>
    <row r="337" spans="1:9" ht="30" customHeight="1">
      <c r="A337" s="25">
        <v>314</v>
      </c>
      <c r="B337" s="26" t="s">
        <v>444</v>
      </c>
      <c r="C337" s="26" t="s">
        <v>699</v>
      </c>
      <c r="D337" s="130">
        <v>130</v>
      </c>
      <c r="E337" s="51">
        <v>190</v>
      </c>
      <c r="F337" s="27">
        <v>5</v>
      </c>
      <c r="G337" s="41">
        <f>InventoryList[[#This Row],[NLC (NET LANDING COST]]*InventoryList[[#This Row],[Quantity in stock]]</f>
        <v>650</v>
      </c>
      <c r="H337" s="62"/>
      <c r="I337" s="22"/>
    </row>
    <row r="338" spans="1:9" ht="30" customHeight="1">
      <c r="A338" s="25">
        <v>315</v>
      </c>
      <c r="B338" s="26" t="s">
        <v>445</v>
      </c>
      <c r="C338" s="26" t="s">
        <v>700</v>
      </c>
      <c r="D338" s="130">
        <v>140</v>
      </c>
      <c r="E338" s="51">
        <v>200</v>
      </c>
      <c r="F338" s="27">
        <v>5</v>
      </c>
      <c r="G338" s="41">
        <f>InventoryList[[#This Row],[NLC (NET LANDING COST]]*InventoryList[[#This Row],[Quantity in stock]]</f>
        <v>700</v>
      </c>
      <c r="H338" s="62"/>
      <c r="I338" s="22"/>
    </row>
    <row r="339" spans="1:9" ht="30" customHeight="1">
      <c r="A339" s="25">
        <v>316</v>
      </c>
      <c r="B339" s="26" t="s">
        <v>446</v>
      </c>
      <c r="C339" s="26" t="s">
        <v>701</v>
      </c>
      <c r="D339" s="130">
        <v>110</v>
      </c>
      <c r="E339" s="51">
        <v>180</v>
      </c>
      <c r="F339" s="27">
        <v>2</v>
      </c>
      <c r="G339" s="41">
        <f>InventoryList[[#This Row],[NLC (NET LANDING COST]]*InventoryList[[#This Row],[Quantity in stock]]</f>
        <v>220</v>
      </c>
      <c r="H339" s="62"/>
      <c r="I339" s="22"/>
    </row>
    <row r="340" spans="1:9" ht="30" customHeight="1">
      <c r="A340" s="25">
        <v>317</v>
      </c>
      <c r="B340" s="26" t="s">
        <v>447</v>
      </c>
      <c r="C340" s="26" t="s">
        <v>702</v>
      </c>
      <c r="D340" s="130">
        <v>170</v>
      </c>
      <c r="E340" s="51">
        <v>220</v>
      </c>
      <c r="F340" s="27">
        <v>5</v>
      </c>
      <c r="G340" s="41">
        <f>InventoryList[[#This Row],[NLC (NET LANDING COST]]*InventoryList[[#This Row],[Quantity in stock]]</f>
        <v>850</v>
      </c>
      <c r="H340" s="62"/>
      <c r="I340" s="22"/>
    </row>
    <row r="341" spans="1:9" ht="30" customHeight="1">
      <c r="A341" s="25">
        <v>318</v>
      </c>
      <c r="B341" s="26" t="s">
        <v>448</v>
      </c>
      <c r="C341" s="26" t="s">
        <v>542</v>
      </c>
      <c r="D341" s="130">
        <v>140</v>
      </c>
      <c r="E341" s="51">
        <v>250</v>
      </c>
      <c r="F341" s="27">
        <v>4</v>
      </c>
      <c r="G341" s="41">
        <f>InventoryList[[#This Row],[NLC (NET LANDING COST]]*InventoryList[[#This Row],[Quantity in stock]]</f>
        <v>560</v>
      </c>
      <c r="H341" s="62"/>
      <c r="I341" s="22"/>
    </row>
    <row r="342" spans="1:9" ht="30" customHeight="1">
      <c r="A342" s="25">
        <v>319</v>
      </c>
      <c r="B342" s="26" t="s">
        <v>449</v>
      </c>
      <c r="C342" s="26" t="s">
        <v>703</v>
      </c>
      <c r="D342" s="130">
        <v>30</v>
      </c>
      <c r="E342" s="51">
        <v>100</v>
      </c>
      <c r="F342" s="27">
        <v>5</v>
      </c>
      <c r="G342" s="41">
        <f>InventoryList[[#This Row],[NLC (NET LANDING COST]]*InventoryList[[#This Row],[Quantity in stock]]</f>
        <v>150</v>
      </c>
      <c r="H342" s="62"/>
      <c r="I342" s="22"/>
    </row>
    <row r="343" spans="1:9" ht="30" customHeight="1">
      <c r="A343" s="25">
        <v>320</v>
      </c>
      <c r="B343" s="26" t="s">
        <v>450</v>
      </c>
      <c r="C343" s="26" t="s">
        <v>704</v>
      </c>
      <c r="D343" s="130">
        <v>30</v>
      </c>
      <c r="E343" s="51">
        <v>120</v>
      </c>
      <c r="F343" s="27">
        <v>5</v>
      </c>
      <c r="G343" s="41">
        <f>InventoryList[[#This Row],[NLC (NET LANDING COST]]*InventoryList[[#This Row],[Quantity in stock]]</f>
        <v>150</v>
      </c>
      <c r="H343" s="62"/>
      <c r="I343" s="22"/>
    </row>
    <row r="344" spans="1:9" ht="30" customHeight="1">
      <c r="A344" s="25">
        <v>321</v>
      </c>
      <c r="B344" s="26" t="s">
        <v>451</v>
      </c>
      <c r="C344" s="26" t="s">
        <v>705</v>
      </c>
      <c r="D344" s="130">
        <v>80</v>
      </c>
      <c r="E344" s="51">
        <v>150</v>
      </c>
      <c r="F344" s="27">
        <v>5</v>
      </c>
      <c r="G344" s="41">
        <f>InventoryList[[#This Row],[NLC (NET LANDING COST]]*InventoryList[[#This Row],[Quantity in stock]]</f>
        <v>400</v>
      </c>
      <c r="H344" s="62"/>
      <c r="I344" s="22"/>
    </row>
    <row r="345" spans="1:9" ht="30" customHeight="1">
      <c r="A345" s="25">
        <v>322</v>
      </c>
      <c r="B345" s="26" t="s">
        <v>452</v>
      </c>
      <c r="C345" s="26" t="s">
        <v>706</v>
      </c>
      <c r="D345" s="130">
        <v>90</v>
      </c>
      <c r="E345" s="51">
        <v>200</v>
      </c>
      <c r="F345" s="27">
        <v>5</v>
      </c>
      <c r="G345" s="41">
        <f>InventoryList[[#This Row],[NLC (NET LANDING COST]]*InventoryList[[#This Row],[Quantity in stock]]</f>
        <v>450</v>
      </c>
      <c r="H345" s="62"/>
      <c r="I345" s="22"/>
    </row>
    <row r="346" spans="1:9" ht="30" customHeight="1">
      <c r="A346" s="25">
        <v>323</v>
      </c>
      <c r="B346" s="26" t="s">
        <v>453</v>
      </c>
      <c r="C346" s="26" t="s">
        <v>543</v>
      </c>
      <c r="D346" s="130">
        <v>140</v>
      </c>
      <c r="E346" s="51">
        <v>250</v>
      </c>
      <c r="F346" s="27">
        <v>9</v>
      </c>
      <c r="G346" s="41">
        <f>InventoryList[[#This Row],[NLC (NET LANDING COST]]*InventoryList[[#This Row],[Quantity in stock]]</f>
        <v>1260</v>
      </c>
      <c r="H346" s="62"/>
      <c r="I346" s="22"/>
    </row>
    <row r="347" spans="1:9" ht="30" customHeight="1">
      <c r="A347" s="25">
        <v>324</v>
      </c>
      <c r="B347" s="26" t="s">
        <v>454</v>
      </c>
      <c r="C347" s="26" t="s">
        <v>544</v>
      </c>
      <c r="D347" s="130">
        <v>160</v>
      </c>
      <c r="E347" s="51">
        <v>300</v>
      </c>
      <c r="F347" s="27">
        <v>9</v>
      </c>
      <c r="G347" s="41">
        <f>InventoryList[[#This Row],[NLC (NET LANDING COST]]*InventoryList[[#This Row],[Quantity in stock]]</f>
        <v>1440</v>
      </c>
      <c r="H347" s="62"/>
      <c r="I347" s="22"/>
    </row>
    <row r="348" spans="1:9" ht="30" customHeight="1">
      <c r="A348" s="25">
        <v>325</v>
      </c>
      <c r="B348" s="26" t="s">
        <v>455</v>
      </c>
      <c r="C348" s="26" t="s">
        <v>545</v>
      </c>
      <c r="D348" s="130">
        <v>350</v>
      </c>
      <c r="E348" s="51">
        <v>500</v>
      </c>
      <c r="F348" s="27">
        <v>5</v>
      </c>
      <c r="G348" s="41">
        <f>InventoryList[[#This Row],[NLC (NET LANDING COST]]*InventoryList[[#This Row],[Quantity in stock]]</f>
        <v>1750</v>
      </c>
      <c r="H348" s="62"/>
      <c r="I348" s="22"/>
    </row>
    <row r="349" spans="1:9" ht="30" customHeight="1">
      <c r="A349" s="25">
        <v>326</v>
      </c>
      <c r="B349" s="26" t="s">
        <v>456</v>
      </c>
      <c r="C349" s="26" t="s">
        <v>707</v>
      </c>
      <c r="D349" s="130">
        <v>145</v>
      </c>
      <c r="E349" s="51">
        <v>220</v>
      </c>
      <c r="F349" s="27">
        <v>2</v>
      </c>
      <c r="G349" s="41">
        <f>InventoryList[[#This Row],[NLC (NET LANDING COST]]*InventoryList[[#This Row],[Quantity in stock]]</f>
        <v>290</v>
      </c>
      <c r="H349" s="62"/>
      <c r="I349" s="22"/>
    </row>
    <row r="350" spans="1:9" ht="30" customHeight="1">
      <c r="A350" s="25">
        <v>327</v>
      </c>
      <c r="B350" s="26" t="s">
        <v>457</v>
      </c>
      <c r="C350" s="26" t="s">
        <v>708</v>
      </c>
      <c r="D350" s="130">
        <v>180</v>
      </c>
      <c r="E350" s="51">
        <v>270</v>
      </c>
      <c r="F350" s="27">
        <v>2</v>
      </c>
      <c r="G350" s="41">
        <f>InventoryList[[#This Row],[NLC (NET LANDING COST]]*InventoryList[[#This Row],[Quantity in stock]]</f>
        <v>360</v>
      </c>
      <c r="H350" s="62"/>
      <c r="I350" s="22"/>
    </row>
    <row r="351" spans="1:9" ht="30" customHeight="1">
      <c r="A351" s="25">
        <v>328</v>
      </c>
      <c r="B351" s="26" t="s">
        <v>458</v>
      </c>
      <c r="C351" s="26" t="s">
        <v>709</v>
      </c>
      <c r="D351" s="130">
        <v>145</v>
      </c>
      <c r="E351" s="51">
        <v>225</v>
      </c>
      <c r="F351" s="27">
        <v>2</v>
      </c>
      <c r="G351" s="41">
        <f>InventoryList[[#This Row],[NLC (NET LANDING COST]]*InventoryList[[#This Row],[Quantity in stock]]</f>
        <v>290</v>
      </c>
      <c r="H351" s="62"/>
      <c r="I351" s="22"/>
    </row>
    <row r="352" spans="1:9" ht="30" customHeight="1">
      <c r="A352" s="25">
        <v>329</v>
      </c>
      <c r="B352" s="26" t="s">
        <v>459</v>
      </c>
      <c r="C352" s="26" t="s">
        <v>49</v>
      </c>
      <c r="D352" s="130">
        <v>8</v>
      </c>
      <c r="E352" s="51">
        <v>20</v>
      </c>
      <c r="F352" s="27">
        <v>4</v>
      </c>
      <c r="G352" s="41">
        <f>InventoryList[[#This Row],[NLC (NET LANDING COST]]*InventoryList[[#This Row],[Quantity in stock]]</f>
        <v>32</v>
      </c>
      <c r="H352" s="62"/>
      <c r="I352" s="22"/>
    </row>
    <row r="353" spans="1:9" ht="30" customHeight="1">
      <c r="A353" s="25">
        <v>330</v>
      </c>
      <c r="B353" s="26" t="s">
        <v>460</v>
      </c>
      <c r="C353" s="29" t="s">
        <v>1227</v>
      </c>
      <c r="D353" s="130">
        <v>500</v>
      </c>
      <c r="E353" s="51">
        <v>750</v>
      </c>
      <c r="F353" s="27">
        <v>2</v>
      </c>
      <c r="G353" s="41">
        <f>InventoryList[[#This Row],[NLC (NET LANDING COST]]*InventoryList[[#This Row],[Quantity in stock]]</f>
        <v>1000</v>
      </c>
      <c r="H353" s="62"/>
      <c r="I353" s="22"/>
    </row>
    <row r="354" spans="1:9" s="10" customFormat="1" ht="30" customHeight="1">
      <c r="A354" s="28" t="s">
        <v>51</v>
      </c>
      <c r="B354" s="29">
        <v>6803</v>
      </c>
      <c r="C354" s="29"/>
      <c r="D354" s="130" t="s">
        <v>120</v>
      </c>
      <c r="E354" s="43"/>
      <c r="F354" s="30"/>
      <c r="G354" s="59"/>
      <c r="H354" s="59">
        <v>10842</v>
      </c>
    </row>
    <row r="355" spans="1:9" ht="30" customHeight="1">
      <c r="A355" s="25">
        <v>331</v>
      </c>
      <c r="B355" s="26" t="s">
        <v>461</v>
      </c>
      <c r="C355" s="26" t="s">
        <v>564</v>
      </c>
      <c r="D355" s="130">
        <v>280</v>
      </c>
      <c r="E355" s="51">
        <v>500</v>
      </c>
      <c r="F355" s="27">
        <v>5</v>
      </c>
      <c r="G355" s="41">
        <f>InventoryList[[#This Row],[NLC (NET LANDING COST]]*InventoryList[[#This Row],[Quantity in stock]]</f>
        <v>1400</v>
      </c>
      <c r="H355" s="62"/>
      <c r="I355" s="22"/>
    </row>
    <row r="356" spans="1:9" ht="30" customHeight="1">
      <c r="A356" s="25">
        <v>332</v>
      </c>
      <c r="B356" s="26" t="s">
        <v>462</v>
      </c>
      <c r="C356" s="26" t="s">
        <v>565</v>
      </c>
      <c r="D356" s="130">
        <v>18</v>
      </c>
      <c r="E356" s="51">
        <v>40</v>
      </c>
      <c r="F356" s="27">
        <v>100</v>
      </c>
      <c r="G356" s="41">
        <f>InventoryList[[#This Row],[NLC (NET LANDING COST]]*InventoryList[[#This Row],[Quantity in stock]]</f>
        <v>1800</v>
      </c>
      <c r="H356" s="62"/>
      <c r="I356" s="22"/>
    </row>
    <row r="357" spans="1:9" ht="30" customHeight="1">
      <c r="A357" s="25">
        <v>333</v>
      </c>
      <c r="B357" s="26" t="s">
        <v>463</v>
      </c>
      <c r="C357" s="26" t="s">
        <v>566</v>
      </c>
      <c r="D357" s="130">
        <v>18</v>
      </c>
      <c r="E357" s="51">
        <v>40</v>
      </c>
      <c r="F357" s="27">
        <v>100</v>
      </c>
      <c r="G357" s="41">
        <f>InventoryList[[#This Row],[NLC (NET LANDING COST]]*InventoryList[[#This Row],[Quantity in stock]]</f>
        <v>1800</v>
      </c>
      <c r="H357" s="62"/>
      <c r="I357" s="22"/>
    </row>
    <row r="358" spans="1:9" ht="30" customHeight="1">
      <c r="A358" s="25">
        <v>334</v>
      </c>
      <c r="B358" s="26" t="s">
        <v>464</v>
      </c>
      <c r="C358" s="26" t="s">
        <v>567</v>
      </c>
      <c r="D358" s="130">
        <v>45</v>
      </c>
      <c r="E358" s="51">
        <v>90</v>
      </c>
      <c r="F358" s="27">
        <v>10</v>
      </c>
      <c r="G358" s="41">
        <f>InventoryList[[#This Row],[NLC (NET LANDING COST]]*InventoryList[[#This Row],[Quantity in stock]]</f>
        <v>450</v>
      </c>
      <c r="H358" s="62"/>
      <c r="I358" s="22"/>
    </row>
    <row r="359" spans="1:9" ht="30" customHeight="1">
      <c r="A359" s="25">
        <v>335</v>
      </c>
      <c r="B359" s="26" t="s">
        <v>465</v>
      </c>
      <c r="C359" s="26" t="s">
        <v>568</v>
      </c>
      <c r="D359" s="130">
        <v>40</v>
      </c>
      <c r="E359" s="51">
        <v>80</v>
      </c>
      <c r="F359" s="27">
        <v>5</v>
      </c>
      <c r="G359" s="41">
        <f>InventoryList[[#This Row],[NLC (NET LANDING COST]]*InventoryList[[#This Row],[Quantity in stock]]</f>
        <v>200</v>
      </c>
      <c r="H359" s="62"/>
      <c r="I359" s="22"/>
    </row>
    <row r="360" spans="1:9" ht="30" customHeight="1">
      <c r="A360" s="25">
        <v>336</v>
      </c>
      <c r="B360" s="26" t="s">
        <v>466</v>
      </c>
      <c r="C360" s="26" t="s">
        <v>569</v>
      </c>
      <c r="D360" s="130">
        <v>625</v>
      </c>
      <c r="E360" s="51">
        <v>800</v>
      </c>
      <c r="F360" s="27">
        <v>2</v>
      </c>
      <c r="G360" s="41">
        <f>InventoryList[[#This Row],[NLC (NET LANDING COST]]*InventoryList[[#This Row],[Quantity in stock]]</f>
        <v>1250</v>
      </c>
      <c r="H360" s="62"/>
      <c r="I360" s="22"/>
    </row>
    <row r="361" spans="1:9" ht="30" customHeight="1">
      <c r="A361" s="25">
        <v>337</v>
      </c>
      <c r="B361" s="26" t="s">
        <v>467</v>
      </c>
      <c r="C361" s="26" t="s">
        <v>570</v>
      </c>
      <c r="D361" s="130">
        <v>680</v>
      </c>
      <c r="E361" s="51">
        <v>950</v>
      </c>
      <c r="F361" s="27">
        <v>2</v>
      </c>
      <c r="G361" s="41">
        <f>InventoryList[[#This Row],[NLC (NET LANDING COST]]*InventoryList[[#This Row],[Quantity in stock]]</f>
        <v>1360</v>
      </c>
      <c r="H361" s="62"/>
      <c r="I361" s="22"/>
    </row>
    <row r="362" spans="1:9" ht="30" customHeight="1">
      <c r="A362" s="25">
        <v>338</v>
      </c>
      <c r="B362" s="26" t="s">
        <v>468</v>
      </c>
      <c r="C362" s="26" t="s">
        <v>571</v>
      </c>
      <c r="D362" s="130">
        <v>700</v>
      </c>
      <c r="E362" s="51">
        <v>950</v>
      </c>
      <c r="F362" s="27">
        <v>2</v>
      </c>
      <c r="G362" s="41">
        <f>InventoryList[[#This Row],[NLC (NET LANDING COST]]*InventoryList[[#This Row],[Quantity in stock]]</f>
        <v>1400</v>
      </c>
      <c r="H362" s="62"/>
      <c r="I362" s="22"/>
    </row>
    <row r="363" spans="1:9" ht="30" customHeight="1">
      <c r="A363" s="25">
        <v>339</v>
      </c>
      <c r="B363" s="26" t="s">
        <v>469</v>
      </c>
      <c r="C363" s="26" t="s">
        <v>577</v>
      </c>
      <c r="D363" s="130">
        <v>400</v>
      </c>
      <c r="E363" s="51">
        <v>550</v>
      </c>
      <c r="F363" s="27">
        <v>3</v>
      </c>
      <c r="G363" s="41">
        <f>InventoryList[[#This Row],[NLC (NET LANDING COST]]*InventoryList[[#This Row],[Quantity in stock]]</f>
        <v>1200</v>
      </c>
      <c r="H363" s="62"/>
      <c r="I363" s="22"/>
    </row>
    <row r="364" spans="1:9" ht="30" customHeight="1">
      <c r="A364" s="25">
        <v>340</v>
      </c>
      <c r="B364" s="26" t="s">
        <v>470</v>
      </c>
      <c r="C364" s="26" t="s">
        <v>572</v>
      </c>
      <c r="D364" s="130">
        <v>120</v>
      </c>
      <c r="E364" s="51">
        <v>250</v>
      </c>
      <c r="F364" s="27">
        <v>10</v>
      </c>
      <c r="G364" s="41">
        <f>InventoryList[[#This Row],[NLC (NET LANDING COST]]*InventoryList[[#This Row],[Quantity in stock]]</f>
        <v>1200</v>
      </c>
      <c r="H364" s="62"/>
      <c r="I364" s="22"/>
    </row>
    <row r="365" spans="1:9" ht="30" customHeight="1">
      <c r="A365" s="25">
        <v>341</v>
      </c>
      <c r="B365" s="26" t="s">
        <v>471</v>
      </c>
      <c r="C365" s="26" t="s">
        <v>824</v>
      </c>
      <c r="D365" s="130">
        <v>70</v>
      </c>
      <c r="E365" s="51">
        <v>140</v>
      </c>
      <c r="F365" s="27">
        <v>10</v>
      </c>
      <c r="G365" s="41">
        <f>InventoryList[[#This Row],[NLC (NET LANDING COST]]*InventoryList[[#This Row],[Quantity in stock]]</f>
        <v>700</v>
      </c>
      <c r="H365" s="62"/>
      <c r="I365" s="22"/>
    </row>
    <row r="366" spans="1:9" ht="30" customHeight="1">
      <c r="A366" s="25">
        <v>342</v>
      </c>
      <c r="B366" s="26" t="s">
        <v>472</v>
      </c>
      <c r="C366" s="26" t="s">
        <v>573</v>
      </c>
      <c r="D366" s="130">
        <v>165</v>
      </c>
      <c r="E366" s="51">
        <v>220</v>
      </c>
      <c r="F366" s="27">
        <v>5</v>
      </c>
      <c r="G366" s="41">
        <f>InventoryList[[#This Row],[NLC (NET LANDING COST]]*InventoryList[[#This Row],[Quantity in stock]]</f>
        <v>825</v>
      </c>
      <c r="H366" s="62"/>
      <c r="I366" s="22"/>
    </row>
    <row r="367" spans="1:9" ht="30" customHeight="1">
      <c r="A367" s="25">
        <v>343</v>
      </c>
      <c r="B367" s="26" t="s">
        <v>473</v>
      </c>
      <c r="C367" s="26" t="s">
        <v>574</v>
      </c>
      <c r="D367" s="130">
        <v>175</v>
      </c>
      <c r="E367" s="51">
        <v>230</v>
      </c>
      <c r="F367" s="27">
        <v>5</v>
      </c>
      <c r="G367" s="41">
        <f>InventoryList[[#This Row],[NLC (NET LANDING COST]]*InventoryList[[#This Row],[Quantity in stock]]</f>
        <v>875</v>
      </c>
      <c r="H367" s="62"/>
      <c r="I367" s="22"/>
    </row>
    <row r="368" spans="1:9" ht="30" customHeight="1">
      <c r="A368" s="25">
        <v>344</v>
      </c>
      <c r="B368" s="26" t="s">
        <v>474</v>
      </c>
      <c r="C368" s="26" t="s">
        <v>575</v>
      </c>
      <c r="D368" s="130">
        <v>165</v>
      </c>
      <c r="E368" s="51">
        <v>220</v>
      </c>
      <c r="F368" s="27">
        <v>5</v>
      </c>
      <c r="G368" s="41">
        <f>InventoryList[[#This Row],[NLC (NET LANDING COST]]*InventoryList[[#This Row],[Quantity in stock]]</f>
        <v>825</v>
      </c>
      <c r="H368" s="62"/>
      <c r="I368" s="22"/>
    </row>
    <row r="369" spans="1:10" ht="30" customHeight="1">
      <c r="A369" s="25">
        <v>345</v>
      </c>
      <c r="B369" s="26" t="s">
        <v>546</v>
      </c>
      <c r="C369" s="26" t="s">
        <v>827</v>
      </c>
      <c r="D369" s="130">
        <v>135</v>
      </c>
      <c r="E369" s="51">
        <v>250</v>
      </c>
      <c r="F369" s="27">
        <v>5</v>
      </c>
      <c r="G369" s="41">
        <f>InventoryList[[#This Row],[NLC (NET LANDING COST]]*InventoryList[[#This Row],[Quantity in stock]]</f>
        <v>675</v>
      </c>
      <c r="H369" s="62"/>
      <c r="I369" s="22"/>
    </row>
    <row r="370" spans="1:10" ht="30" customHeight="1">
      <c r="A370" s="25">
        <v>346</v>
      </c>
      <c r="B370" s="26" t="s">
        <v>547</v>
      </c>
      <c r="C370" s="26" t="s">
        <v>828</v>
      </c>
      <c r="D370" s="130">
        <v>155</v>
      </c>
      <c r="E370" s="51">
        <v>350</v>
      </c>
      <c r="F370" s="27">
        <v>5</v>
      </c>
      <c r="G370" s="41">
        <f>InventoryList[[#This Row],[NLC (NET LANDING COST]]*InventoryList[[#This Row],[Quantity in stock]]</f>
        <v>775</v>
      </c>
      <c r="H370" s="62"/>
      <c r="I370" s="22"/>
    </row>
    <row r="371" spans="1:10" ht="30" customHeight="1">
      <c r="A371" s="25">
        <v>347</v>
      </c>
      <c r="B371" s="26" t="s">
        <v>548</v>
      </c>
      <c r="C371" s="26" t="s">
        <v>713</v>
      </c>
      <c r="D371" s="130">
        <v>210</v>
      </c>
      <c r="E371" s="51">
        <v>450</v>
      </c>
      <c r="F371" s="27">
        <v>5</v>
      </c>
      <c r="G371" s="41">
        <f>InventoryList[[#This Row],[NLC (NET LANDING COST]]*InventoryList[[#This Row],[Quantity in stock]]</f>
        <v>1050</v>
      </c>
      <c r="H371" s="62"/>
      <c r="I371" s="22"/>
    </row>
    <row r="372" spans="1:10" ht="30" customHeight="1">
      <c r="A372" s="25">
        <v>348</v>
      </c>
      <c r="B372" s="26" t="s">
        <v>549</v>
      </c>
      <c r="C372" s="26" t="s">
        <v>714</v>
      </c>
      <c r="D372" s="130">
        <v>470</v>
      </c>
      <c r="E372" s="51">
        <v>650</v>
      </c>
      <c r="F372" s="27">
        <v>3</v>
      </c>
      <c r="G372" s="41">
        <f>InventoryList[[#This Row],[NLC (NET LANDING COST]]*InventoryList[[#This Row],[Quantity in stock]]</f>
        <v>1410</v>
      </c>
      <c r="H372" s="62"/>
      <c r="I372" s="22"/>
    </row>
    <row r="373" spans="1:10" ht="30" customHeight="1">
      <c r="A373" s="25">
        <v>349</v>
      </c>
      <c r="B373" s="26" t="s">
        <v>550</v>
      </c>
      <c r="C373" s="26" t="s">
        <v>576</v>
      </c>
      <c r="D373" s="130">
        <v>380</v>
      </c>
      <c r="E373" s="51">
        <v>550</v>
      </c>
      <c r="F373" s="27">
        <v>3</v>
      </c>
      <c r="G373" s="41">
        <f>InventoryList[[#This Row],[NLC (NET LANDING COST]]*InventoryList[[#This Row],[Quantity in stock]]</f>
        <v>1140</v>
      </c>
      <c r="H373" s="62"/>
      <c r="I373" s="22"/>
    </row>
    <row r="374" spans="1:10" ht="30" customHeight="1">
      <c r="A374" s="25">
        <v>350</v>
      </c>
      <c r="B374" s="26" t="s">
        <v>551</v>
      </c>
      <c r="C374" s="26" t="s">
        <v>523</v>
      </c>
      <c r="D374" s="130">
        <v>700</v>
      </c>
      <c r="E374" s="51"/>
      <c r="F374" s="27">
        <v>1</v>
      </c>
      <c r="G374" s="41">
        <f>InventoryList[[#This Row],[NLC (NET LANDING COST]]*InventoryList[[#This Row],[Quantity in stock]]</f>
        <v>700</v>
      </c>
      <c r="H374" s="62"/>
      <c r="I374" s="22"/>
    </row>
    <row r="375" spans="1:10" s="10" customFormat="1" ht="30" customHeight="1">
      <c r="A375" s="28" t="s">
        <v>51</v>
      </c>
      <c r="B375" s="29">
        <v>6804</v>
      </c>
      <c r="C375" s="29"/>
      <c r="D375" s="130" t="s">
        <v>120</v>
      </c>
      <c r="E375" s="43"/>
      <c r="F375" s="30"/>
      <c r="G375" s="67"/>
      <c r="H375" s="59">
        <v>21035</v>
      </c>
    </row>
    <row r="376" spans="1:10" s="10" customFormat="1" ht="30" customHeight="1">
      <c r="A376" s="31" t="s">
        <v>320</v>
      </c>
      <c r="B376" s="32" t="s">
        <v>578</v>
      </c>
      <c r="C376" s="33" t="s">
        <v>525</v>
      </c>
      <c r="D376" s="131" t="s">
        <v>321</v>
      </c>
      <c r="E376" s="52"/>
      <c r="F376" s="34">
        <v>113320</v>
      </c>
      <c r="G376" s="75"/>
      <c r="H376" s="44">
        <v>50752</v>
      </c>
      <c r="I376" s="14"/>
      <c r="J376" s="15">
        <v>62568</v>
      </c>
    </row>
    <row r="377" spans="1:10" ht="30" customHeight="1">
      <c r="A377" s="25">
        <v>351</v>
      </c>
      <c r="B377" s="26" t="s">
        <v>552</v>
      </c>
      <c r="C377" s="26" t="s">
        <v>584</v>
      </c>
      <c r="D377" s="130">
        <v>290</v>
      </c>
      <c r="E377" s="51">
        <v>330</v>
      </c>
      <c r="F377" s="27">
        <v>27</v>
      </c>
      <c r="G377" s="41">
        <f>InventoryList[[#This Row],[NLC (NET LANDING COST]]*InventoryList[[#This Row],[Quantity in stock]]</f>
        <v>7830</v>
      </c>
      <c r="H377" s="62" t="s">
        <v>601</v>
      </c>
      <c r="I377" s="22"/>
    </row>
    <row r="378" spans="1:10" ht="30" customHeight="1">
      <c r="A378" s="25">
        <v>352</v>
      </c>
      <c r="B378" s="26" t="s">
        <v>553</v>
      </c>
      <c r="C378" s="26" t="s">
        <v>579</v>
      </c>
      <c r="D378" s="130">
        <v>1180</v>
      </c>
      <c r="E378" s="51">
        <v>104</v>
      </c>
      <c r="F378" s="27">
        <v>8.59</v>
      </c>
      <c r="G378" s="41">
        <f>InventoryList[[#This Row],[NLC (NET LANDING COST]]*InventoryList[[#This Row],[Quantity in stock]]</f>
        <v>10136.200000000001</v>
      </c>
      <c r="H378" s="62" t="s">
        <v>720</v>
      </c>
      <c r="I378" s="22"/>
    </row>
    <row r="379" spans="1:10" ht="30" customHeight="1">
      <c r="A379" s="25">
        <v>353</v>
      </c>
      <c r="B379" s="26" t="s">
        <v>554</v>
      </c>
      <c r="C379" s="79" t="s">
        <v>599</v>
      </c>
      <c r="D379" s="130">
        <v>5800</v>
      </c>
      <c r="E379" s="51">
        <v>350</v>
      </c>
      <c r="F379" s="27">
        <v>1</v>
      </c>
      <c r="G379" s="41">
        <f>InventoryList[[#This Row],[NLC (NET LANDING COST]]*InventoryList[[#This Row],[Quantity in stock]]</f>
        <v>5800</v>
      </c>
      <c r="H379" s="62" t="s">
        <v>603</v>
      </c>
      <c r="I379" s="22"/>
    </row>
    <row r="380" spans="1:10" ht="30" customHeight="1">
      <c r="A380" s="25">
        <v>354</v>
      </c>
      <c r="B380" s="26" t="s">
        <v>555</v>
      </c>
      <c r="C380" s="26" t="s">
        <v>580</v>
      </c>
      <c r="D380" s="130">
        <v>2000</v>
      </c>
      <c r="E380" s="51">
        <v>120</v>
      </c>
      <c r="F380" s="27">
        <v>1</v>
      </c>
      <c r="G380" s="41">
        <f>InventoryList[[#This Row],[NLC (NET LANDING COST]]*InventoryList[[#This Row],[Quantity in stock]]</f>
        <v>2000</v>
      </c>
      <c r="H380" s="62" t="s">
        <v>598</v>
      </c>
      <c r="I380" s="22"/>
    </row>
    <row r="381" spans="1:10" ht="30" customHeight="1">
      <c r="A381" s="25">
        <v>355</v>
      </c>
      <c r="B381" s="26" t="s">
        <v>556</v>
      </c>
      <c r="C381" s="26" t="s">
        <v>600</v>
      </c>
      <c r="D381" s="130">
        <v>1100</v>
      </c>
      <c r="E381" s="51">
        <v>30</v>
      </c>
      <c r="F381" s="27">
        <v>1</v>
      </c>
      <c r="G381" s="41">
        <f>InventoryList[[#This Row],[NLC (NET LANDING COST]]*InventoryList[[#This Row],[Quantity in stock]]</f>
        <v>1100</v>
      </c>
      <c r="H381" s="62" t="s">
        <v>602</v>
      </c>
      <c r="I381" s="22"/>
    </row>
    <row r="382" spans="1:10" ht="30" customHeight="1">
      <c r="A382" s="25">
        <v>356</v>
      </c>
      <c r="B382" s="26" t="s">
        <v>557</v>
      </c>
      <c r="C382" s="79" t="s">
        <v>583</v>
      </c>
      <c r="D382" s="130">
        <v>4200</v>
      </c>
      <c r="E382" s="51">
        <v>300</v>
      </c>
      <c r="F382" s="27">
        <v>1</v>
      </c>
      <c r="G382" s="41">
        <f>InventoryList[[#This Row],[NLC (NET LANDING COST]]*InventoryList[[#This Row],[Quantity in stock]]</f>
        <v>4200</v>
      </c>
      <c r="H382" s="62" t="s">
        <v>819</v>
      </c>
      <c r="I382" s="22"/>
    </row>
    <row r="383" spans="1:10" ht="30" customHeight="1">
      <c r="A383" s="25">
        <v>357</v>
      </c>
      <c r="B383" s="26" t="s">
        <v>558</v>
      </c>
      <c r="C383" s="79" t="s">
        <v>581</v>
      </c>
      <c r="D383" s="130">
        <v>5300</v>
      </c>
      <c r="E383" s="51">
        <v>325</v>
      </c>
      <c r="F383" s="27">
        <v>1</v>
      </c>
      <c r="G383" s="41">
        <f>InventoryList[[#This Row],[NLC (NET LANDING COST]]*InventoryList[[#This Row],[Quantity in stock]]</f>
        <v>5300</v>
      </c>
      <c r="H383" s="62"/>
      <c r="I383" s="22"/>
    </row>
    <row r="384" spans="1:10" ht="30" customHeight="1">
      <c r="A384" s="25">
        <v>358</v>
      </c>
      <c r="B384" s="26" t="s">
        <v>559</v>
      </c>
      <c r="C384" s="79" t="s">
        <v>582</v>
      </c>
      <c r="D384" s="130">
        <v>3600</v>
      </c>
      <c r="E384" s="51">
        <v>200</v>
      </c>
      <c r="F384" s="27">
        <v>1</v>
      </c>
      <c r="G384" s="41">
        <f>InventoryList[[#This Row],[NLC (NET LANDING COST]]*InventoryList[[#This Row],[Quantity in stock]]</f>
        <v>3600</v>
      </c>
      <c r="H384" s="62"/>
      <c r="I384" s="22"/>
    </row>
    <row r="385" spans="1:10" ht="30" customHeight="1">
      <c r="A385" s="25">
        <v>359</v>
      </c>
      <c r="B385" s="26" t="s">
        <v>560</v>
      </c>
      <c r="C385" s="26" t="s">
        <v>585</v>
      </c>
      <c r="D385" s="130">
        <v>650</v>
      </c>
      <c r="E385" s="51">
        <v>800</v>
      </c>
      <c r="F385" s="27">
        <v>6</v>
      </c>
      <c r="G385" s="41">
        <f>InventoryList[[#This Row],[NLC (NET LANDING COST]]*InventoryList[[#This Row],[Quantity in stock]]</f>
        <v>3900</v>
      </c>
      <c r="H385" s="62"/>
      <c r="I385" s="22"/>
    </row>
    <row r="386" spans="1:10" ht="30" customHeight="1">
      <c r="A386" s="25">
        <v>360</v>
      </c>
      <c r="B386" s="26" t="s">
        <v>561</v>
      </c>
      <c r="C386" s="26" t="s">
        <v>586</v>
      </c>
      <c r="D386" s="130">
        <v>650</v>
      </c>
      <c r="E386" s="51">
        <v>800</v>
      </c>
      <c r="F386" s="27">
        <v>2</v>
      </c>
      <c r="G386" s="41">
        <f>InventoryList[[#This Row],[NLC (NET LANDING COST]]*InventoryList[[#This Row],[Quantity in stock]]</f>
        <v>1300</v>
      </c>
      <c r="H386" s="62"/>
      <c r="I386" s="22"/>
    </row>
    <row r="387" spans="1:10" ht="30" customHeight="1">
      <c r="A387" s="25">
        <v>361</v>
      </c>
      <c r="B387" s="26" t="s">
        <v>562</v>
      </c>
      <c r="C387" s="26" t="s">
        <v>587</v>
      </c>
      <c r="D387" s="130">
        <v>650</v>
      </c>
      <c r="E387" s="51">
        <v>850</v>
      </c>
      <c r="F387" s="27">
        <v>2</v>
      </c>
      <c r="G387" s="41">
        <f>InventoryList[[#This Row],[NLC (NET LANDING COST]]*InventoryList[[#This Row],[Quantity in stock]]</f>
        <v>1300</v>
      </c>
      <c r="H387" s="62"/>
      <c r="I387" s="22"/>
    </row>
    <row r="388" spans="1:10" ht="30" customHeight="1">
      <c r="A388" s="25">
        <v>362</v>
      </c>
      <c r="B388" s="26" t="s">
        <v>563</v>
      </c>
      <c r="C388" s="26" t="s">
        <v>523</v>
      </c>
      <c r="D388" s="130">
        <v>800</v>
      </c>
      <c r="E388" s="51"/>
      <c r="F388" s="27">
        <v>1</v>
      </c>
      <c r="G388" s="41">
        <f>InventoryList[[#This Row],[NLC (NET LANDING COST]]*InventoryList[[#This Row],[Quantity in stock]]</f>
        <v>800</v>
      </c>
      <c r="H388" s="62"/>
      <c r="I388" s="22"/>
    </row>
    <row r="389" spans="1:10" s="10" customFormat="1" ht="30" customHeight="1">
      <c r="A389" s="28" t="s">
        <v>51</v>
      </c>
      <c r="B389" s="29">
        <v>3186</v>
      </c>
      <c r="C389" s="29"/>
      <c r="D389" s="130" t="s">
        <v>120</v>
      </c>
      <c r="E389" s="43"/>
      <c r="F389" s="30"/>
      <c r="G389" s="75"/>
      <c r="H389" s="43">
        <v>47266</v>
      </c>
    </row>
    <row r="390" spans="1:10" s="10" customFormat="1" ht="29.1" customHeight="1">
      <c r="A390" s="31" t="s">
        <v>320</v>
      </c>
      <c r="B390" s="32" t="s">
        <v>588</v>
      </c>
      <c r="C390" s="33" t="s">
        <v>525</v>
      </c>
      <c r="D390" s="131" t="s">
        <v>321</v>
      </c>
      <c r="E390" s="52"/>
      <c r="F390" s="34">
        <v>62568</v>
      </c>
      <c r="G390" s="44"/>
      <c r="H390" s="64"/>
      <c r="I390" s="14"/>
      <c r="J390" s="15">
        <v>15302</v>
      </c>
    </row>
    <row r="391" spans="1:10" s="10" customFormat="1" ht="8.1" customHeight="1">
      <c r="A391" s="16"/>
      <c r="B391" s="17"/>
      <c r="C391" s="17"/>
      <c r="D391" s="132"/>
      <c r="E391" s="53"/>
      <c r="F391" s="18"/>
      <c r="G391" s="45"/>
      <c r="H391" s="66"/>
      <c r="I391" s="16"/>
      <c r="J391" s="16"/>
    </row>
    <row r="392" spans="1:10" ht="30" customHeight="1">
      <c r="A392" s="25" t="s">
        <v>865</v>
      </c>
      <c r="B392" s="23" t="s">
        <v>727</v>
      </c>
      <c r="C392" s="23" t="s">
        <v>726</v>
      </c>
      <c r="D392" s="132">
        <v>14</v>
      </c>
      <c r="E392" s="69">
        <v>50</v>
      </c>
      <c r="F392" s="24">
        <v>36</v>
      </c>
      <c r="G392" s="46">
        <v>500</v>
      </c>
      <c r="H392" s="62"/>
      <c r="I392" s="22"/>
    </row>
    <row r="393" spans="1:10" ht="30" customHeight="1">
      <c r="A393" s="25" t="s">
        <v>866</v>
      </c>
      <c r="B393" s="26" t="s">
        <v>728</v>
      </c>
      <c r="C393" s="26" t="s">
        <v>830</v>
      </c>
      <c r="D393" s="130">
        <v>70</v>
      </c>
      <c r="E393" s="51">
        <v>120</v>
      </c>
      <c r="F393" s="27">
        <v>2</v>
      </c>
      <c r="G393" s="41">
        <f>InventoryList[[#This Row],[NLC (NET LANDING COST]]*InventoryList[[#This Row],[Quantity in stock]]</f>
        <v>140</v>
      </c>
      <c r="H393" s="62"/>
      <c r="I393" s="22"/>
    </row>
    <row r="394" spans="1:10" ht="30" customHeight="1">
      <c r="A394" s="25" t="s">
        <v>867</v>
      </c>
      <c r="B394" s="26" t="s">
        <v>729</v>
      </c>
      <c r="C394" s="26" t="s">
        <v>831</v>
      </c>
      <c r="D394" s="130">
        <v>10</v>
      </c>
      <c r="E394" s="51">
        <v>15</v>
      </c>
      <c r="F394" s="27">
        <v>8</v>
      </c>
      <c r="G394" s="41">
        <f>InventoryList[[#This Row],[NLC (NET LANDING COST]]*InventoryList[[#This Row],[Quantity in stock]]</f>
        <v>80</v>
      </c>
      <c r="H394" s="62"/>
      <c r="I394" s="22"/>
    </row>
    <row r="395" spans="1:10" ht="30" customHeight="1">
      <c r="A395" s="25" t="s">
        <v>829</v>
      </c>
      <c r="B395" s="26" t="s">
        <v>730</v>
      </c>
      <c r="C395" s="79" t="s">
        <v>825</v>
      </c>
      <c r="D395" s="130">
        <v>750</v>
      </c>
      <c r="E395" s="51">
        <v>950</v>
      </c>
      <c r="F395" s="27">
        <v>10</v>
      </c>
      <c r="G395" s="41">
        <f>InventoryList[[#This Row],[NLC (NET LANDING COST]]*InventoryList[[#This Row],[Quantity in stock]]</f>
        <v>7500</v>
      </c>
      <c r="H395" s="62"/>
      <c r="I395" s="22"/>
    </row>
    <row r="396" spans="1:10" ht="30" customHeight="1">
      <c r="A396" s="25" t="s">
        <v>829</v>
      </c>
      <c r="B396" s="26" t="s">
        <v>731</v>
      </c>
      <c r="C396" s="79" t="s">
        <v>826</v>
      </c>
      <c r="D396" s="130">
        <v>830</v>
      </c>
      <c r="E396" s="51">
        <v>1000</v>
      </c>
      <c r="F396" s="27">
        <v>6</v>
      </c>
      <c r="G396" s="41">
        <f>InventoryList[[#This Row],[NLC (NET LANDING COST]]*InventoryList[[#This Row],[Quantity in stock]]</f>
        <v>4980</v>
      </c>
      <c r="H396" s="62"/>
      <c r="I396" s="22"/>
    </row>
    <row r="397" spans="1:10" ht="30" customHeight="1">
      <c r="A397" s="25" t="s">
        <v>829</v>
      </c>
      <c r="B397" s="26" t="s">
        <v>732</v>
      </c>
      <c r="C397" s="26" t="s">
        <v>821</v>
      </c>
      <c r="D397" s="130">
        <v>40</v>
      </c>
      <c r="E397" s="51">
        <v>80</v>
      </c>
      <c r="F397" s="27">
        <v>5</v>
      </c>
      <c r="G397" s="41">
        <f>InventoryList[[#This Row],[NLC (NET LANDING COST]]*InventoryList[[#This Row],[Quantity in stock]]</f>
        <v>200</v>
      </c>
      <c r="H397" s="62"/>
      <c r="I397" s="22"/>
    </row>
    <row r="398" spans="1:10" ht="30" customHeight="1">
      <c r="A398" s="25" t="s">
        <v>829</v>
      </c>
      <c r="B398" s="26" t="s">
        <v>733</v>
      </c>
      <c r="C398" s="79" t="s">
        <v>822</v>
      </c>
      <c r="D398" s="130">
        <v>30</v>
      </c>
      <c r="E398" s="51">
        <v>60</v>
      </c>
      <c r="F398" s="27">
        <v>5</v>
      </c>
      <c r="G398" s="41">
        <f>InventoryList[[#This Row],[NLC (NET LANDING COST]]*InventoryList[[#This Row],[Quantity in stock]]</f>
        <v>150</v>
      </c>
      <c r="H398" s="62"/>
      <c r="I398" s="22"/>
    </row>
    <row r="399" spans="1:10" ht="30" customHeight="1">
      <c r="A399" s="25" t="s">
        <v>829</v>
      </c>
      <c r="B399" s="26" t="s">
        <v>734</v>
      </c>
      <c r="C399" s="26" t="s">
        <v>821</v>
      </c>
      <c r="D399" s="130">
        <v>20</v>
      </c>
      <c r="E399" s="51">
        <v>60</v>
      </c>
      <c r="F399" s="27">
        <v>10</v>
      </c>
      <c r="G399" s="41">
        <f>InventoryList[[#This Row],[NLC (NET LANDING COST]]*InventoryList[[#This Row],[Quantity in stock]]</f>
        <v>200</v>
      </c>
      <c r="H399" s="62"/>
      <c r="I399" s="22"/>
    </row>
    <row r="400" spans="1:10" ht="30" customHeight="1">
      <c r="A400" s="25" t="s">
        <v>829</v>
      </c>
      <c r="B400" s="26" t="s">
        <v>735</v>
      </c>
      <c r="C400" s="79" t="s">
        <v>822</v>
      </c>
      <c r="D400" s="130">
        <v>12</v>
      </c>
      <c r="E400" s="51">
        <v>40</v>
      </c>
      <c r="F400" s="27">
        <v>5</v>
      </c>
      <c r="G400" s="41">
        <f>InventoryList[[#This Row],[NLC (NET LANDING COST]]*InventoryList[[#This Row],[Quantity in stock]]</f>
        <v>60</v>
      </c>
      <c r="H400" s="68" t="s">
        <v>823</v>
      </c>
      <c r="I400" s="22"/>
    </row>
    <row r="401" spans="1:9" ht="30" customHeight="1">
      <c r="A401" s="25" t="s">
        <v>815</v>
      </c>
      <c r="B401" s="26" t="s">
        <v>815</v>
      </c>
      <c r="C401" s="26" t="s">
        <v>323</v>
      </c>
      <c r="D401" s="130">
        <v>400</v>
      </c>
      <c r="E401" s="70"/>
      <c r="F401" s="27">
        <v>1</v>
      </c>
      <c r="G401" s="41">
        <f>InventoryList[[#This Row],[NLC (NET LANDING COST]]*InventoryList[[#This Row],[Quantity in stock]]</f>
        <v>400</v>
      </c>
      <c r="H401" s="68"/>
      <c r="I401" s="22"/>
    </row>
    <row r="402" spans="1:9" s="10" customFormat="1" ht="30" customHeight="1">
      <c r="A402" s="72" t="s">
        <v>51</v>
      </c>
      <c r="B402" s="29">
        <v>5835</v>
      </c>
      <c r="C402" s="29" t="s">
        <v>525</v>
      </c>
      <c r="D402" s="130" t="s">
        <v>120</v>
      </c>
      <c r="E402" s="43"/>
      <c r="F402" s="30" t="s">
        <v>323</v>
      </c>
      <c r="G402" s="75"/>
      <c r="H402" s="67">
        <v>14210</v>
      </c>
      <c r="I402" s="10">
        <v>13490</v>
      </c>
    </row>
    <row r="403" spans="1:9" ht="30" customHeight="1">
      <c r="A403" s="25">
        <v>372</v>
      </c>
      <c r="B403" s="26" t="s">
        <v>736</v>
      </c>
      <c r="C403" s="26" t="s">
        <v>839</v>
      </c>
      <c r="D403" s="130">
        <v>275</v>
      </c>
      <c r="E403" s="51">
        <v>400</v>
      </c>
      <c r="F403" s="27">
        <v>1</v>
      </c>
      <c r="G403" s="41">
        <f>InventoryList[[#This Row],[NLC (NET LANDING COST]]*InventoryList[[#This Row],[Quantity in stock]]</f>
        <v>275</v>
      </c>
      <c r="H403" s="62"/>
      <c r="I403" s="22"/>
    </row>
    <row r="404" spans="1:9" ht="30" customHeight="1">
      <c r="A404" s="25">
        <v>373</v>
      </c>
      <c r="B404" s="26" t="s">
        <v>737</v>
      </c>
      <c r="C404" s="79" t="s">
        <v>853</v>
      </c>
      <c r="D404" s="130">
        <v>800</v>
      </c>
      <c r="E404" s="51">
        <v>950</v>
      </c>
      <c r="F404" s="27">
        <v>10</v>
      </c>
      <c r="G404" s="41">
        <f>InventoryList[[#This Row],[NLC (NET LANDING COST]]*InventoryList[[#This Row],[Quantity in stock]]</f>
        <v>8000</v>
      </c>
      <c r="H404" s="62"/>
      <c r="I404" s="22"/>
    </row>
    <row r="405" spans="1:9" ht="30" customHeight="1">
      <c r="A405" s="25">
        <v>374</v>
      </c>
      <c r="B405" s="26" t="s">
        <v>738</v>
      </c>
      <c r="C405" s="26" t="s">
        <v>840</v>
      </c>
      <c r="D405" s="130">
        <v>650</v>
      </c>
      <c r="E405" s="51">
        <v>900</v>
      </c>
      <c r="F405" s="27">
        <v>3</v>
      </c>
      <c r="G405" s="41">
        <f>InventoryList[[#This Row],[NLC (NET LANDING COST]]*InventoryList[[#This Row],[Quantity in stock]]</f>
        <v>1950</v>
      </c>
      <c r="H405" s="62"/>
      <c r="I405" s="22"/>
    </row>
    <row r="406" spans="1:9" ht="30" customHeight="1">
      <c r="A406" s="25">
        <v>375</v>
      </c>
      <c r="B406" s="26" t="s">
        <v>739</v>
      </c>
      <c r="C406" s="26" t="s">
        <v>841</v>
      </c>
      <c r="D406" s="130">
        <v>650</v>
      </c>
      <c r="E406" s="51">
        <v>850</v>
      </c>
      <c r="F406" s="27">
        <v>3</v>
      </c>
      <c r="G406" s="41">
        <f>InventoryList[[#This Row],[NLC (NET LANDING COST]]*InventoryList[[#This Row],[Quantity in stock]]</f>
        <v>1950</v>
      </c>
      <c r="H406" s="62"/>
      <c r="I406" s="22"/>
    </row>
    <row r="407" spans="1:9" ht="30" customHeight="1">
      <c r="A407" s="25">
        <v>376</v>
      </c>
      <c r="B407" s="26" t="s">
        <v>740</v>
      </c>
      <c r="C407" s="26" t="s">
        <v>842</v>
      </c>
      <c r="D407" s="130">
        <v>650</v>
      </c>
      <c r="E407" s="51">
        <v>850</v>
      </c>
      <c r="F407" s="27">
        <v>3</v>
      </c>
      <c r="G407" s="41">
        <f>InventoryList[[#This Row],[NLC (NET LANDING COST]]*InventoryList[[#This Row],[Quantity in stock]]</f>
        <v>1950</v>
      </c>
      <c r="H407" s="62"/>
      <c r="I407" s="22"/>
    </row>
    <row r="408" spans="1:9" ht="30" customHeight="1">
      <c r="A408" s="25">
        <v>377</v>
      </c>
      <c r="B408" s="26" t="s">
        <v>741</v>
      </c>
      <c r="C408" s="26" t="s">
        <v>1226</v>
      </c>
      <c r="D408" s="130">
        <v>650</v>
      </c>
      <c r="E408" s="51">
        <v>850</v>
      </c>
      <c r="F408" s="27">
        <v>1</v>
      </c>
      <c r="G408" s="41">
        <f>InventoryList[[#This Row],[NLC (NET LANDING COST]]*InventoryList[[#This Row],[Quantity in stock]]</f>
        <v>650</v>
      </c>
      <c r="H408" s="62"/>
      <c r="I408" s="22"/>
    </row>
    <row r="409" spans="1:9" ht="30" customHeight="1">
      <c r="A409" s="25">
        <v>378</v>
      </c>
      <c r="B409" s="26" t="s">
        <v>742</v>
      </c>
      <c r="C409" s="26" t="s">
        <v>843</v>
      </c>
      <c r="D409" s="130">
        <v>30</v>
      </c>
      <c r="E409" s="51">
        <v>80</v>
      </c>
      <c r="F409" s="27">
        <v>20</v>
      </c>
      <c r="G409" s="41">
        <f>InventoryList[[#This Row],[NLC (NET LANDING COST]]*InventoryList[[#This Row],[Quantity in stock]]</f>
        <v>600</v>
      </c>
      <c r="H409" s="62"/>
      <c r="I409" s="22"/>
    </row>
    <row r="410" spans="1:9" ht="30" customHeight="1">
      <c r="A410" s="25">
        <v>379</v>
      </c>
      <c r="B410" s="26" t="s">
        <v>743</v>
      </c>
      <c r="C410" s="26" t="s">
        <v>844</v>
      </c>
      <c r="D410" s="130">
        <v>20</v>
      </c>
      <c r="E410" s="51">
        <v>70</v>
      </c>
      <c r="F410" s="27">
        <v>20</v>
      </c>
      <c r="G410" s="41">
        <f>InventoryList[[#This Row],[NLC (NET LANDING COST]]*InventoryList[[#This Row],[Quantity in stock]]</f>
        <v>400</v>
      </c>
      <c r="H410" s="62"/>
      <c r="I410" s="22"/>
    </row>
    <row r="411" spans="1:9" ht="30" customHeight="1">
      <c r="A411" s="25">
        <v>380</v>
      </c>
      <c r="B411" s="26" t="s">
        <v>744</v>
      </c>
      <c r="C411" s="26" t="s">
        <v>845</v>
      </c>
      <c r="D411" s="130">
        <v>42</v>
      </c>
      <c r="E411" s="51">
        <v>100</v>
      </c>
      <c r="F411" s="27">
        <v>10</v>
      </c>
      <c r="G411" s="41">
        <f>InventoryList[[#This Row],[NLC (NET LANDING COST]]*InventoryList[[#This Row],[Quantity in stock]]</f>
        <v>420</v>
      </c>
      <c r="H411" s="62"/>
      <c r="I411" s="22"/>
    </row>
    <row r="412" spans="1:9" ht="30" customHeight="1">
      <c r="A412" s="25">
        <v>381</v>
      </c>
      <c r="B412" s="26" t="s">
        <v>745</v>
      </c>
      <c r="C412" s="26" t="s">
        <v>856</v>
      </c>
      <c r="D412" s="130">
        <v>600</v>
      </c>
      <c r="E412" s="51">
        <v>750</v>
      </c>
      <c r="F412" s="27">
        <v>9</v>
      </c>
      <c r="G412" s="41">
        <f>InventoryList[[#This Row],[NLC (NET LANDING COST]]*InventoryList[[#This Row],[Quantity in stock]]</f>
        <v>5400</v>
      </c>
      <c r="H412" s="62"/>
      <c r="I412" s="22"/>
    </row>
    <row r="413" spans="1:9" ht="30" customHeight="1">
      <c r="A413" s="25">
        <v>382</v>
      </c>
      <c r="B413" s="26" t="s">
        <v>746</v>
      </c>
      <c r="C413" s="26" t="s">
        <v>857</v>
      </c>
      <c r="D413" s="130">
        <v>520</v>
      </c>
      <c r="E413" s="51">
        <v>700</v>
      </c>
      <c r="F413" s="27">
        <v>1</v>
      </c>
      <c r="G413" s="41">
        <f>InventoryList[[#This Row],[NLC (NET LANDING COST]]*InventoryList[[#This Row],[Quantity in stock]]</f>
        <v>520</v>
      </c>
      <c r="H413" s="62"/>
      <c r="I413" s="22"/>
    </row>
    <row r="414" spans="1:9" ht="30" customHeight="1">
      <c r="A414" s="25">
        <v>383</v>
      </c>
      <c r="B414" s="26" t="s">
        <v>747</v>
      </c>
      <c r="C414" s="26" t="s">
        <v>846</v>
      </c>
      <c r="D414" s="130">
        <v>25</v>
      </c>
      <c r="E414" s="51">
        <v>60</v>
      </c>
      <c r="F414" s="27">
        <v>25</v>
      </c>
      <c r="G414" s="41">
        <f>InventoryList[[#This Row],[NLC (NET LANDING COST]]*InventoryList[[#This Row],[Quantity in stock]]</f>
        <v>625</v>
      </c>
      <c r="H414" s="62"/>
      <c r="I414" s="22"/>
    </row>
    <row r="415" spans="1:9" ht="30" customHeight="1">
      <c r="A415" s="25">
        <v>384</v>
      </c>
      <c r="B415" s="26" t="s">
        <v>748</v>
      </c>
      <c r="C415" s="26" t="s">
        <v>847</v>
      </c>
      <c r="D415" s="130">
        <v>135</v>
      </c>
      <c r="E415" s="51">
        <v>200</v>
      </c>
      <c r="F415" s="27">
        <v>5</v>
      </c>
      <c r="G415" s="41">
        <f>InventoryList[[#This Row],[NLC (NET LANDING COST]]*InventoryList[[#This Row],[Quantity in stock]]</f>
        <v>675</v>
      </c>
      <c r="H415" s="62"/>
      <c r="I415" s="22"/>
    </row>
    <row r="416" spans="1:9" ht="30" customHeight="1">
      <c r="A416" s="25">
        <v>385</v>
      </c>
      <c r="B416" s="26" t="s">
        <v>749</v>
      </c>
      <c r="C416" s="26" t="s">
        <v>848</v>
      </c>
      <c r="D416" s="130">
        <v>430</v>
      </c>
      <c r="E416" s="51">
        <v>650</v>
      </c>
      <c r="F416" s="27">
        <v>7</v>
      </c>
      <c r="G416" s="41">
        <f>InventoryList[[#This Row],[NLC (NET LANDING COST]]*InventoryList[[#This Row],[Quantity in stock]]</f>
        <v>3010</v>
      </c>
      <c r="H416" s="62"/>
      <c r="I416" s="22"/>
    </row>
    <row r="417" spans="1:9" ht="30" customHeight="1">
      <c r="A417" s="25">
        <v>386</v>
      </c>
      <c r="B417" s="26" t="s">
        <v>851</v>
      </c>
      <c r="C417" s="26" t="s">
        <v>849</v>
      </c>
      <c r="D417" s="130">
        <v>180</v>
      </c>
      <c r="E417" s="51">
        <v>300</v>
      </c>
      <c r="F417" s="27">
        <v>10</v>
      </c>
      <c r="G417" s="41">
        <f>InventoryList[[#This Row],[NLC (NET LANDING COST]]*InventoryList[[#This Row],[Quantity in stock]]</f>
        <v>1800</v>
      </c>
      <c r="H417" s="62"/>
      <c r="I417" s="22"/>
    </row>
    <row r="418" spans="1:9" ht="30" customHeight="1">
      <c r="A418" s="25">
        <v>387</v>
      </c>
      <c r="B418" s="26" t="s">
        <v>750</v>
      </c>
      <c r="C418" s="26" t="s">
        <v>850</v>
      </c>
      <c r="D418" s="130">
        <v>200</v>
      </c>
      <c r="E418" s="51">
        <v>350</v>
      </c>
      <c r="F418" s="27">
        <v>5</v>
      </c>
      <c r="G418" s="41">
        <f>InventoryList[[#This Row],[NLC (NET LANDING COST]]*InventoryList[[#This Row],[Quantity in stock]]</f>
        <v>1000</v>
      </c>
      <c r="H418" s="62"/>
      <c r="I418" s="22"/>
    </row>
    <row r="419" spans="1:9" ht="30" customHeight="1">
      <c r="A419" s="25" t="s">
        <v>815</v>
      </c>
      <c r="B419" s="26" t="s">
        <v>815</v>
      </c>
      <c r="C419" s="26" t="s">
        <v>323</v>
      </c>
      <c r="D419" s="130">
        <v>1100</v>
      </c>
      <c r="E419" s="70"/>
      <c r="F419" s="27">
        <v>1</v>
      </c>
      <c r="G419" s="41">
        <f>InventoryList[[#This Row],[NLC (NET LANDING COST]]*InventoryList[[#This Row],[Quantity in stock]]</f>
        <v>1100</v>
      </c>
      <c r="H419" s="62"/>
      <c r="I419" s="22"/>
    </row>
    <row r="420" spans="1:9" ht="30" customHeight="1">
      <c r="A420" s="28" t="s">
        <v>51</v>
      </c>
      <c r="B420" s="29">
        <v>5749</v>
      </c>
      <c r="C420" s="29" t="s">
        <v>525</v>
      </c>
      <c r="D420" s="130" t="s">
        <v>120</v>
      </c>
      <c r="E420" s="43"/>
      <c r="F420" s="30" t="s">
        <v>864</v>
      </c>
      <c r="G420" s="54"/>
      <c r="H420" s="67">
        <v>30325</v>
      </c>
      <c r="I420" s="22"/>
    </row>
    <row r="421" spans="1:9" ht="30" customHeight="1">
      <c r="A421" s="25">
        <v>388</v>
      </c>
      <c r="B421" s="26" t="s">
        <v>750</v>
      </c>
      <c r="C421" s="26" t="s">
        <v>854</v>
      </c>
      <c r="D421" s="130">
        <v>22</v>
      </c>
      <c r="E421" s="51">
        <v>35</v>
      </c>
      <c r="F421" s="27">
        <v>50</v>
      </c>
      <c r="G421" s="41">
        <f>InventoryList[[#This Row],[NLC (NET LANDING COST]]*InventoryList[[#This Row],[Quantity in stock]]</f>
        <v>1100</v>
      </c>
      <c r="H421" s="62"/>
      <c r="I421" s="22"/>
    </row>
    <row r="422" spans="1:9" ht="30" customHeight="1">
      <c r="A422" s="25">
        <v>389</v>
      </c>
      <c r="B422" s="26" t="s">
        <v>751</v>
      </c>
      <c r="C422" s="26" t="s">
        <v>855</v>
      </c>
      <c r="D422" s="130">
        <v>16</v>
      </c>
      <c r="E422" s="51">
        <v>30</v>
      </c>
      <c r="F422" s="27">
        <v>50</v>
      </c>
      <c r="G422" s="41">
        <f>InventoryList[[#This Row],[NLC (NET LANDING COST]]*InventoryList[[#This Row],[Quantity in stock]]</f>
        <v>800</v>
      </c>
      <c r="H422" s="62"/>
      <c r="I422" s="22"/>
    </row>
    <row r="423" spans="1:9" ht="30" customHeight="1">
      <c r="A423" s="25">
        <v>389</v>
      </c>
      <c r="B423" s="26" t="s">
        <v>752</v>
      </c>
      <c r="C423" s="26" t="s">
        <v>1148</v>
      </c>
      <c r="D423" s="130">
        <v>1650</v>
      </c>
      <c r="E423" s="51">
        <v>50</v>
      </c>
      <c r="F423" s="27">
        <v>1</v>
      </c>
      <c r="G423" s="41">
        <f>InventoryList[[#This Row],[NLC (NET LANDING COST]]*InventoryList[[#This Row],[Quantity in stock]]</f>
        <v>1650</v>
      </c>
      <c r="H423" s="62"/>
      <c r="I423" s="22"/>
    </row>
    <row r="424" spans="1:9" ht="30" customHeight="1">
      <c r="A424" s="25">
        <v>390</v>
      </c>
      <c r="B424" s="26" t="s">
        <v>753</v>
      </c>
      <c r="C424" s="26" t="s">
        <v>1149</v>
      </c>
      <c r="D424" s="130">
        <v>2250</v>
      </c>
      <c r="E424" s="51">
        <v>60</v>
      </c>
      <c r="F424" s="27">
        <v>1</v>
      </c>
      <c r="G424" s="41">
        <f>InventoryList[[#This Row],[NLC (NET LANDING COST]]*InventoryList[[#This Row],[Quantity in stock]]</f>
        <v>2250</v>
      </c>
      <c r="H424" s="62"/>
      <c r="I424" s="22"/>
    </row>
    <row r="425" spans="1:9" ht="30" customHeight="1">
      <c r="A425" s="25">
        <v>391</v>
      </c>
      <c r="B425" s="26" t="s">
        <v>754</v>
      </c>
      <c r="C425" s="79" t="s">
        <v>859</v>
      </c>
      <c r="D425" s="130">
        <v>970</v>
      </c>
      <c r="E425" s="51">
        <v>1200</v>
      </c>
      <c r="F425" s="27">
        <v>7</v>
      </c>
      <c r="G425" s="41">
        <f>InventoryList[[#This Row],[NLC (NET LANDING COST]]*InventoryList[[#This Row],[Quantity in stock]]</f>
        <v>6790</v>
      </c>
      <c r="H425" s="62"/>
      <c r="I425" s="22"/>
    </row>
    <row r="426" spans="1:9" ht="30" customHeight="1">
      <c r="A426" s="25">
        <v>392</v>
      </c>
      <c r="B426" s="26" t="s">
        <v>755</v>
      </c>
      <c r="C426" s="79" t="s">
        <v>858</v>
      </c>
      <c r="D426" s="130">
        <v>250</v>
      </c>
      <c r="E426" s="51">
        <v>300</v>
      </c>
      <c r="F426" s="27">
        <v>18</v>
      </c>
      <c r="G426" s="41">
        <f>InventoryList[[#This Row],[NLC (NET LANDING COST]]*InventoryList[[#This Row],[Quantity in stock]]</f>
        <v>4500</v>
      </c>
      <c r="H426" s="62"/>
      <c r="I426" s="22"/>
    </row>
    <row r="427" spans="1:9" ht="30" customHeight="1">
      <c r="A427" s="25">
        <v>393</v>
      </c>
      <c r="B427" s="26" t="s">
        <v>756</v>
      </c>
      <c r="C427" s="26" t="s">
        <v>860</v>
      </c>
      <c r="D427" s="130">
        <v>190</v>
      </c>
      <c r="E427" s="51">
        <v>350</v>
      </c>
      <c r="F427" s="27">
        <v>4</v>
      </c>
      <c r="G427" s="41">
        <f>InventoryList[[#This Row],[NLC (NET LANDING COST]]*InventoryList[[#This Row],[Quantity in stock]]</f>
        <v>760</v>
      </c>
      <c r="H427" s="62"/>
      <c r="I427" s="22"/>
    </row>
    <row r="428" spans="1:9" ht="30" customHeight="1">
      <c r="A428" s="25">
        <v>394</v>
      </c>
      <c r="B428" s="26" t="s">
        <v>757</v>
      </c>
      <c r="C428" s="79" t="s">
        <v>1145</v>
      </c>
      <c r="D428" s="134">
        <v>406.8</v>
      </c>
      <c r="E428" s="51">
        <v>550</v>
      </c>
      <c r="F428" s="27">
        <v>20</v>
      </c>
      <c r="G428" s="41">
        <f>InventoryList[[#This Row],[NLC (NET LANDING COST]]*InventoryList[[#This Row],[Quantity in stock]]</f>
        <v>8136</v>
      </c>
      <c r="H428" s="62"/>
      <c r="I428" s="22"/>
    </row>
    <row r="429" spans="1:9" ht="30" customHeight="1">
      <c r="A429" s="25">
        <v>395</v>
      </c>
      <c r="B429" s="26" t="s">
        <v>758</v>
      </c>
      <c r="C429" s="79" t="s">
        <v>1144</v>
      </c>
      <c r="D429" s="134">
        <v>454</v>
      </c>
      <c r="E429" s="51">
        <v>550</v>
      </c>
      <c r="F429" s="27">
        <v>20</v>
      </c>
      <c r="G429" s="41">
        <f>InventoryList[[#This Row],[NLC (NET LANDING COST]]*InventoryList[[#This Row],[Quantity in stock]]</f>
        <v>9080</v>
      </c>
      <c r="H429" s="62"/>
      <c r="I429" s="22"/>
    </row>
    <row r="430" spans="1:9" ht="48" customHeight="1">
      <c r="A430" s="25">
        <v>396</v>
      </c>
      <c r="B430" s="26" t="s">
        <v>759</v>
      </c>
      <c r="C430" s="79" t="s">
        <v>1143</v>
      </c>
      <c r="D430" s="130">
        <v>153.4</v>
      </c>
      <c r="E430" s="51">
        <v>210</v>
      </c>
      <c r="F430" s="27">
        <v>2</v>
      </c>
      <c r="G430" s="41">
        <f>InventoryList[[#This Row],[NLC (NET LANDING COST]]*InventoryList[[#This Row],[Quantity in stock]]</f>
        <v>306.8</v>
      </c>
      <c r="H430" s="62"/>
      <c r="I430" s="22"/>
    </row>
    <row r="431" spans="1:9" ht="42" customHeight="1">
      <c r="A431" s="25">
        <v>397</v>
      </c>
      <c r="B431" s="26" t="s">
        <v>760</v>
      </c>
      <c r="C431" s="79" t="s">
        <v>1142</v>
      </c>
      <c r="D431" s="130">
        <v>955.8</v>
      </c>
      <c r="E431" s="51">
        <v>1400</v>
      </c>
      <c r="F431" s="27">
        <v>3</v>
      </c>
      <c r="G431" s="41">
        <f>InventoryList[[#This Row],[NLC (NET LANDING COST]]*InventoryList[[#This Row],[Quantity in stock]]</f>
        <v>2867.3999999999996</v>
      </c>
      <c r="H431" s="62"/>
      <c r="I431" s="22"/>
    </row>
    <row r="432" spans="1:9" ht="30" customHeight="1">
      <c r="A432" s="25">
        <v>398</v>
      </c>
      <c r="B432" s="26" t="s">
        <v>761</v>
      </c>
      <c r="C432" s="79" t="s">
        <v>1141</v>
      </c>
      <c r="D432" s="130">
        <v>165.2</v>
      </c>
      <c r="E432" s="51">
        <v>220</v>
      </c>
      <c r="F432" s="27">
        <v>30</v>
      </c>
      <c r="G432" s="41">
        <f>InventoryList[[#This Row],[NLC (NET LANDING COST]]*InventoryList[[#This Row],[Quantity in stock]]</f>
        <v>4956</v>
      </c>
      <c r="H432" s="62"/>
      <c r="I432" s="22"/>
    </row>
    <row r="433" spans="1:9" ht="30" customHeight="1">
      <c r="A433" s="25">
        <v>399</v>
      </c>
      <c r="B433" s="26" t="s">
        <v>762</v>
      </c>
      <c r="C433" s="79" t="s">
        <v>1140</v>
      </c>
      <c r="D433" s="130">
        <v>135.69999999999999</v>
      </c>
      <c r="E433" s="51">
        <v>250</v>
      </c>
      <c r="F433" s="27">
        <v>10</v>
      </c>
      <c r="G433" s="41">
        <f>InventoryList[[#This Row],[NLC (NET LANDING COST]]*InventoryList[[#This Row],[Quantity in stock]]</f>
        <v>1357</v>
      </c>
      <c r="H433" s="62"/>
      <c r="I433" s="22"/>
    </row>
    <row r="434" spans="1:9" ht="30" customHeight="1">
      <c r="A434" s="25">
        <v>400</v>
      </c>
      <c r="B434" s="26" t="s">
        <v>763</v>
      </c>
      <c r="C434" s="79" t="s">
        <v>1146</v>
      </c>
      <c r="D434" s="130">
        <v>112</v>
      </c>
      <c r="E434" s="51">
        <v>150</v>
      </c>
      <c r="F434" s="27">
        <v>100</v>
      </c>
      <c r="G434" s="41">
        <f>InventoryList[[#This Row],[NLC (NET LANDING COST]]*InventoryList[[#This Row],[Quantity in stock]]</f>
        <v>11200</v>
      </c>
      <c r="H434" s="62"/>
      <c r="I434" s="22"/>
    </row>
    <row r="435" spans="1:9" ht="30" customHeight="1">
      <c r="A435" s="25">
        <v>401</v>
      </c>
      <c r="B435" s="26" t="s">
        <v>764</v>
      </c>
      <c r="C435" s="79" t="s">
        <v>1147</v>
      </c>
      <c r="D435" s="130">
        <v>161.6</v>
      </c>
      <c r="E435" s="51">
        <v>350</v>
      </c>
      <c r="F435" s="27">
        <v>10</v>
      </c>
      <c r="G435" s="41">
        <f>InventoryList[[#This Row],[NLC (NET LANDING COST]]*InventoryList[[#This Row],[Quantity in stock]]</f>
        <v>1616</v>
      </c>
      <c r="H435" s="62"/>
      <c r="I435" s="22"/>
    </row>
    <row r="436" spans="1:9" ht="30" customHeight="1">
      <c r="A436" s="28" t="s">
        <v>861</v>
      </c>
      <c r="B436" s="29" t="s">
        <v>869</v>
      </c>
      <c r="C436" s="71" t="s">
        <v>863</v>
      </c>
      <c r="D436" s="130" t="s">
        <v>120</v>
      </c>
      <c r="E436" s="43">
        <v>22703</v>
      </c>
      <c r="F436" s="30" t="s">
        <v>323</v>
      </c>
      <c r="G436" s="67"/>
      <c r="H436" s="62"/>
      <c r="I436" s="22"/>
    </row>
    <row r="437" spans="1:9" ht="30" customHeight="1">
      <c r="A437" s="28" t="s">
        <v>51</v>
      </c>
      <c r="B437" s="29" t="s">
        <v>870</v>
      </c>
      <c r="C437" s="29"/>
      <c r="D437" s="130" t="s">
        <v>120</v>
      </c>
      <c r="E437" s="43">
        <v>50190</v>
      </c>
      <c r="F437" s="30" t="s">
        <v>323</v>
      </c>
      <c r="G437" s="67"/>
      <c r="H437" s="59">
        <v>30050</v>
      </c>
      <c r="I437" s="22"/>
    </row>
    <row r="438" spans="1:9" ht="47.1" customHeight="1">
      <c r="A438" s="25">
        <v>402</v>
      </c>
      <c r="B438" s="26" t="s">
        <v>765</v>
      </c>
      <c r="C438" s="79" t="s">
        <v>1251</v>
      </c>
      <c r="D438" s="130">
        <v>814.2</v>
      </c>
      <c r="E438" s="51">
        <v>1200</v>
      </c>
      <c r="F438" s="27">
        <v>12</v>
      </c>
      <c r="G438" s="41">
        <f>InventoryList[[#This Row],[NLC (NET LANDING COST]]*InventoryList[[#This Row],[Quantity in stock]]</f>
        <v>9770.4000000000015</v>
      </c>
      <c r="H438" s="62"/>
      <c r="I438" s="22"/>
    </row>
    <row r="439" spans="1:9" ht="41.1" customHeight="1">
      <c r="A439" s="25">
        <v>403</v>
      </c>
      <c r="B439" s="26" t="s">
        <v>766</v>
      </c>
      <c r="C439" s="79" t="s">
        <v>1139</v>
      </c>
      <c r="D439" s="130">
        <v>885</v>
      </c>
      <c r="E439" s="51">
        <v>1000</v>
      </c>
      <c r="F439" s="27">
        <v>10</v>
      </c>
      <c r="G439" s="41">
        <f>InventoryList[[#This Row],[NLC (NET LANDING COST]]*InventoryList[[#This Row],[Quantity in stock]]</f>
        <v>8850</v>
      </c>
      <c r="H439" s="62"/>
      <c r="I439" s="22"/>
    </row>
    <row r="440" spans="1:9" ht="30" customHeight="1">
      <c r="A440" s="25">
        <v>404</v>
      </c>
      <c r="B440" s="26" t="s">
        <v>767</v>
      </c>
      <c r="C440" s="79" t="s">
        <v>1138</v>
      </c>
      <c r="D440" s="130">
        <v>224.2</v>
      </c>
      <c r="E440" s="51">
        <v>350</v>
      </c>
      <c r="F440" s="27">
        <v>50</v>
      </c>
      <c r="G440" s="41">
        <f>InventoryList[[#This Row],[NLC (NET LANDING COST]]*InventoryList[[#This Row],[Quantity in stock]]</f>
        <v>11210</v>
      </c>
      <c r="H440" s="62"/>
      <c r="I440" s="22"/>
    </row>
    <row r="441" spans="1:9" ht="51" customHeight="1">
      <c r="A441" s="25">
        <v>405</v>
      </c>
      <c r="B441" s="26" t="s">
        <v>768</v>
      </c>
      <c r="C441" s="79" t="s">
        <v>1136</v>
      </c>
      <c r="D441" s="133">
        <v>2950</v>
      </c>
      <c r="E441" s="70">
        <v>3600</v>
      </c>
      <c r="F441" s="27">
        <v>20</v>
      </c>
      <c r="G441" s="41">
        <f>InventoryList[[#This Row],[NLC (NET LANDING COST]]*InventoryList[[#This Row],[Quantity in stock]]</f>
        <v>59000</v>
      </c>
      <c r="H441" s="62"/>
      <c r="I441" s="22"/>
    </row>
    <row r="442" spans="1:9" ht="57.95" customHeight="1">
      <c r="A442" s="25">
        <v>406</v>
      </c>
      <c r="B442" s="26" t="s">
        <v>769</v>
      </c>
      <c r="C442" s="79" t="s">
        <v>1137</v>
      </c>
      <c r="D442" s="130">
        <v>1416</v>
      </c>
      <c r="E442" s="51">
        <v>1800</v>
      </c>
      <c r="F442" s="27">
        <v>10</v>
      </c>
      <c r="G442" s="41">
        <f>InventoryList[[#This Row],[NLC (NET LANDING COST]]*InventoryList[[#This Row],[Quantity in stock]]</f>
        <v>14160</v>
      </c>
      <c r="H442" s="62"/>
      <c r="I442" s="22"/>
    </row>
    <row r="443" spans="1:9" ht="30" customHeight="1">
      <c r="A443" s="28" t="s">
        <v>861</v>
      </c>
      <c r="B443" s="29" t="s">
        <v>862</v>
      </c>
      <c r="C443" s="29" t="s">
        <v>863</v>
      </c>
      <c r="D443" s="130" t="s">
        <v>120</v>
      </c>
      <c r="E443" s="43">
        <v>102990</v>
      </c>
      <c r="F443" s="30" t="s">
        <v>323</v>
      </c>
      <c r="G443" s="54"/>
      <c r="H443" s="67" t="s">
        <v>874</v>
      </c>
      <c r="I443" s="22"/>
    </row>
    <row r="444" spans="1:9" ht="29.1" customHeight="1">
      <c r="A444" s="25">
        <v>407</v>
      </c>
      <c r="B444" s="26" t="s">
        <v>770</v>
      </c>
      <c r="C444" s="79" t="s">
        <v>871</v>
      </c>
      <c r="D444" s="130">
        <v>306</v>
      </c>
      <c r="E444" s="51">
        <v>425</v>
      </c>
      <c r="F444" s="27">
        <v>10</v>
      </c>
      <c r="G444" s="41">
        <f>InventoryList[[#This Row],[NLC (NET LANDING COST]]*InventoryList[[#This Row],[Quantity in stock]]</f>
        <v>3060</v>
      </c>
      <c r="H444" s="62"/>
      <c r="I444" s="22"/>
    </row>
    <row r="445" spans="1:9" ht="30" customHeight="1">
      <c r="A445" s="25">
        <v>408</v>
      </c>
      <c r="B445" s="26" t="s">
        <v>771</v>
      </c>
      <c r="C445" s="79" t="s">
        <v>872</v>
      </c>
      <c r="D445" s="130">
        <v>407</v>
      </c>
      <c r="E445" s="51">
        <v>500</v>
      </c>
      <c r="F445" s="27">
        <v>10</v>
      </c>
      <c r="G445" s="41">
        <f>InventoryList[[#This Row],[NLC (NET LANDING COST]]*InventoryList[[#This Row],[Quantity in stock]]</f>
        <v>4070</v>
      </c>
      <c r="H445" s="62"/>
      <c r="I445" s="22"/>
    </row>
    <row r="446" spans="1:9" ht="30" customHeight="1">
      <c r="A446" s="28" t="s">
        <v>861</v>
      </c>
      <c r="B446" s="29" t="s">
        <v>873</v>
      </c>
      <c r="C446" s="29" t="s">
        <v>863</v>
      </c>
      <c r="D446" s="130" t="s">
        <v>120</v>
      </c>
      <c r="E446" s="43">
        <v>7139</v>
      </c>
      <c r="F446" s="30" t="s">
        <v>323</v>
      </c>
      <c r="G446" s="54"/>
      <c r="H446" s="67" t="s">
        <v>874</v>
      </c>
      <c r="I446" s="22"/>
    </row>
    <row r="447" spans="1:9" ht="30" customHeight="1">
      <c r="A447" s="25">
        <v>409</v>
      </c>
      <c r="B447" s="26" t="s">
        <v>772</v>
      </c>
      <c r="C447" s="26" t="s">
        <v>983</v>
      </c>
      <c r="D447" s="130">
        <v>40</v>
      </c>
      <c r="E447" s="51">
        <v>130</v>
      </c>
      <c r="F447" s="27">
        <v>20</v>
      </c>
      <c r="G447" s="41">
        <f>InventoryList[[#This Row],[NLC (NET LANDING COST]]*InventoryList[[#This Row],[Quantity in stock]]</f>
        <v>800</v>
      </c>
      <c r="H447" s="62"/>
      <c r="I447" s="22"/>
    </row>
    <row r="448" spans="1:9" ht="30" customHeight="1">
      <c r="A448" s="25">
        <v>410</v>
      </c>
      <c r="B448" s="26" t="s">
        <v>773</v>
      </c>
      <c r="C448" s="26" t="s">
        <v>984</v>
      </c>
      <c r="D448" s="130">
        <v>16.5</v>
      </c>
      <c r="E448" s="51">
        <v>35</v>
      </c>
      <c r="F448" s="27">
        <v>20</v>
      </c>
      <c r="G448" s="41">
        <f>InventoryList[[#This Row],[NLC (NET LANDING COST]]*InventoryList[[#This Row],[Quantity in stock]]</f>
        <v>330</v>
      </c>
      <c r="H448" s="62"/>
      <c r="I448" s="22"/>
    </row>
    <row r="449" spans="1:9" ht="30" customHeight="1">
      <c r="A449" s="25">
        <v>411</v>
      </c>
      <c r="B449" s="26" t="s">
        <v>774</v>
      </c>
      <c r="C449" s="26" t="s">
        <v>985</v>
      </c>
      <c r="D449" s="130">
        <v>120</v>
      </c>
      <c r="E449" s="51">
        <v>60</v>
      </c>
      <c r="F449" s="27">
        <v>4</v>
      </c>
      <c r="G449" s="41">
        <f>InventoryList[[#This Row],[NLC (NET LANDING COST]]*InventoryList[[#This Row],[Quantity in stock]]</f>
        <v>480</v>
      </c>
      <c r="H449" s="62"/>
      <c r="I449" s="22"/>
    </row>
    <row r="450" spans="1:9" ht="30" customHeight="1">
      <c r="A450" s="25">
        <v>412</v>
      </c>
      <c r="B450" s="26" t="s">
        <v>775</v>
      </c>
      <c r="C450" s="26" t="s">
        <v>986</v>
      </c>
      <c r="D450" s="130">
        <v>90</v>
      </c>
      <c r="E450" s="51">
        <v>150</v>
      </c>
      <c r="F450" s="27">
        <v>10</v>
      </c>
      <c r="G450" s="41">
        <f>InventoryList[[#This Row],[NLC (NET LANDING COST]]*InventoryList[[#This Row],[Quantity in stock]]</f>
        <v>900</v>
      </c>
      <c r="H450" s="62"/>
      <c r="I450" s="22"/>
    </row>
    <row r="451" spans="1:9" ht="30" customHeight="1">
      <c r="A451" s="25">
        <v>413</v>
      </c>
      <c r="B451" s="26" t="s">
        <v>776</v>
      </c>
      <c r="C451" s="26" t="s">
        <v>987</v>
      </c>
      <c r="D451" s="130">
        <v>8</v>
      </c>
      <c r="E451" s="51">
        <v>20</v>
      </c>
      <c r="F451" s="27">
        <v>5</v>
      </c>
      <c r="G451" s="41">
        <f>InventoryList[[#This Row],[NLC (NET LANDING COST]]*InventoryList[[#This Row],[Quantity in stock]]</f>
        <v>40</v>
      </c>
      <c r="H451" s="62"/>
      <c r="I451" s="22"/>
    </row>
    <row r="452" spans="1:9" ht="30" customHeight="1">
      <c r="A452" s="25">
        <v>414</v>
      </c>
      <c r="B452" s="26" t="s">
        <v>777</v>
      </c>
      <c r="C452" s="26" t="s">
        <v>988</v>
      </c>
      <c r="D452" s="130">
        <v>350</v>
      </c>
      <c r="E452" s="51">
        <v>350</v>
      </c>
      <c r="F452" s="27">
        <v>1</v>
      </c>
      <c r="G452" s="41">
        <f>InventoryList[[#This Row],[NLC (NET LANDING COST]]*InventoryList[[#This Row],[Quantity in stock]]</f>
        <v>350</v>
      </c>
      <c r="H452" s="62"/>
      <c r="I452" s="22"/>
    </row>
    <row r="453" spans="1:9" ht="30" customHeight="1">
      <c r="A453" s="25">
        <v>415</v>
      </c>
      <c r="B453" s="26" t="s">
        <v>778</v>
      </c>
      <c r="C453" s="26" t="s">
        <v>875</v>
      </c>
      <c r="D453" s="130">
        <v>50</v>
      </c>
      <c r="E453" s="51">
        <v>60</v>
      </c>
      <c r="F453" s="27">
        <v>5</v>
      </c>
      <c r="G453" s="41">
        <f>InventoryList[[#This Row],[NLC (NET LANDING COST]]*InventoryList[[#This Row],[Quantity in stock]]</f>
        <v>250</v>
      </c>
      <c r="H453" s="62"/>
      <c r="I453" s="22"/>
    </row>
    <row r="454" spans="1:9" ht="30" customHeight="1">
      <c r="A454" s="25">
        <v>416</v>
      </c>
      <c r="B454" s="26" t="s">
        <v>779</v>
      </c>
      <c r="C454" s="26" t="s">
        <v>989</v>
      </c>
      <c r="D454" s="130">
        <v>80</v>
      </c>
      <c r="E454" s="51">
        <v>110</v>
      </c>
      <c r="F454" s="27">
        <v>10</v>
      </c>
      <c r="G454" s="41">
        <f>InventoryList[[#This Row],[NLC (NET LANDING COST]]*InventoryList[[#This Row],[Quantity in stock]]</f>
        <v>800</v>
      </c>
      <c r="H454" s="62"/>
      <c r="I454" s="22"/>
    </row>
    <row r="455" spans="1:9" ht="30" customHeight="1">
      <c r="A455" s="25">
        <v>417</v>
      </c>
      <c r="B455" s="26" t="s">
        <v>780</v>
      </c>
      <c r="C455" s="26" t="s">
        <v>990</v>
      </c>
      <c r="D455" s="130">
        <v>55</v>
      </c>
      <c r="E455" s="51">
        <v>80</v>
      </c>
      <c r="F455" s="27">
        <v>10</v>
      </c>
      <c r="G455" s="41">
        <f>InventoryList[[#This Row],[NLC (NET LANDING COST]]*InventoryList[[#This Row],[Quantity in stock]]</f>
        <v>550</v>
      </c>
      <c r="H455" s="62"/>
      <c r="I455" s="22"/>
    </row>
    <row r="456" spans="1:9" ht="30" customHeight="1">
      <c r="A456" s="25">
        <v>418</v>
      </c>
      <c r="B456" s="26" t="s">
        <v>781</v>
      </c>
      <c r="C456" s="26" t="s">
        <v>991</v>
      </c>
      <c r="D456" s="130">
        <v>35</v>
      </c>
      <c r="E456" s="51">
        <v>60</v>
      </c>
      <c r="F456" s="27">
        <v>10</v>
      </c>
      <c r="G456" s="41">
        <f>InventoryList[[#This Row],[NLC (NET LANDING COST]]*InventoryList[[#This Row],[Quantity in stock]]</f>
        <v>350</v>
      </c>
      <c r="H456" s="62"/>
      <c r="I456" s="22"/>
    </row>
    <row r="457" spans="1:9" ht="30" customHeight="1">
      <c r="A457" s="25">
        <v>419</v>
      </c>
      <c r="B457" s="26" t="s">
        <v>782</v>
      </c>
      <c r="C457" s="26" t="s">
        <v>992</v>
      </c>
      <c r="D457" s="130">
        <v>60</v>
      </c>
      <c r="E457" s="51">
        <v>120</v>
      </c>
      <c r="F457" s="27">
        <v>10</v>
      </c>
      <c r="G457" s="41">
        <f>InventoryList[[#This Row],[NLC (NET LANDING COST]]*InventoryList[[#This Row],[Quantity in stock]]</f>
        <v>600</v>
      </c>
      <c r="H457" s="62"/>
      <c r="I457" s="22"/>
    </row>
    <row r="458" spans="1:9" ht="30" customHeight="1">
      <c r="A458" s="25">
        <v>420</v>
      </c>
      <c r="B458" s="26" t="s">
        <v>783</v>
      </c>
      <c r="C458" s="26" t="s">
        <v>993</v>
      </c>
      <c r="D458" s="130">
        <v>90</v>
      </c>
      <c r="E458" s="51">
        <v>150</v>
      </c>
      <c r="F458" s="27">
        <v>10</v>
      </c>
      <c r="G458" s="41">
        <f>InventoryList[[#This Row],[NLC (NET LANDING COST]]*InventoryList[[#This Row],[Quantity in stock]]</f>
        <v>900</v>
      </c>
      <c r="H458" s="62"/>
      <c r="I458" s="22"/>
    </row>
    <row r="459" spans="1:9" ht="41.1" customHeight="1">
      <c r="A459" s="25">
        <v>421</v>
      </c>
      <c r="B459" s="26" t="s">
        <v>784</v>
      </c>
      <c r="C459" s="26" t="s">
        <v>994</v>
      </c>
      <c r="D459" s="130">
        <v>65</v>
      </c>
      <c r="E459" s="51">
        <v>130</v>
      </c>
      <c r="F459" s="27">
        <v>5</v>
      </c>
      <c r="G459" s="41">
        <f>InventoryList[[#This Row],[NLC (NET LANDING COST]]*InventoryList[[#This Row],[Quantity in stock]]</f>
        <v>325</v>
      </c>
      <c r="H459" s="62"/>
      <c r="I459" s="22"/>
    </row>
    <row r="460" spans="1:9" ht="39" customHeight="1">
      <c r="A460" s="25">
        <v>422</v>
      </c>
      <c r="B460" s="26" t="s">
        <v>785</v>
      </c>
      <c r="C460" s="26" t="s">
        <v>995</v>
      </c>
      <c r="D460" s="130">
        <v>120</v>
      </c>
      <c r="E460" s="51">
        <v>200</v>
      </c>
      <c r="F460" s="27">
        <v>5</v>
      </c>
      <c r="G460" s="41">
        <f>InventoryList[[#This Row],[NLC (NET LANDING COST]]*InventoryList[[#This Row],[Quantity in stock]]</f>
        <v>600</v>
      </c>
      <c r="H460" s="62"/>
      <c r="I460" s="22"/>
    </row>
    <row r="461" spans="1:9" ht="30" customHeight="1">
      <c r="A461" s="25">
        <v>423</v>
      </c>
      <c r="B461" s="26" t="s">
        <v>786</v>
      </c>
      <c r="C461" s="26" t="s">
        <v>996</v>
      </c>
      <c r="D461" s="130">
        <v>16</v>
      </c>
      <c r="E461" s="51">
        <v>30</v>
      </c>
      <c r="F461" s="27">
        <v>10</v>
      </c>
      <c r="G461" s="41">
        <f>InventoryList[[#This Row],[NLC (NET LANDING COST]]*InventoryList[[#This Row],[Quantity in stock]]</f>
        <v>160</v>
      </c>
      <c r="H461" s="62"/>
      <c r="I461" s="22"/>
    </row>
    <row r="462" spans="1:9" ht="30" customHeight="1">
      <c r="A462" s="25">
        <v>424</v>
      </c>
      <c r="B462" s="26" t="s">
        <v>787</v>
      </c>
      <c r="C462" s="26" t="s">
        <v>997</v>
      </c>
      <c r="D462" s="130">
        <v>12</v>
      </c>
      <c r="E462" s="51">
        <v>25</v>
      </c>
      <c r="F462" s="27">
        <v>20</v>
      </c>
      <c r="G462" s="41">
        <v>240</v>
      </c>
      <c r="H462" s="62"/>
      <c r="I462" s="22"/>
    </row>
    <row r="463" spans="1:9" ht="30" customHeight="1">
      <c r="A463" s="25">
        <v>425</v>
      </c>
      <c r="B463" s="26" t="s">
        <v>788</v>
      </c>
      <c r="C463" s="26" t="s">
        <v>1192</v>
      </c>
      <c r="D463" s="130">
        <v>8</v>
      </c>
      <c r="E463" s="51">
        <v>25</v>
      </c>
      <c r="F463" s="27">
        <v>10</v>
      </c>
      <c r="G463" s="41">
        <f>InventoryList[[#This Row],[NLC (NET LANDING COST]]*InventoryList[[#This Row],[Quantity in stock]]</f>
        <v>80</v>
      </c>
      <c r="H463" s="62"/>
      <c r="I463" s="22"/>
    </row>
    <row r="464" spans="1:9" ht="30" customHeight="1">
      <c r="A464" s="25">
        <v>426</v>
      </c>
      <c r="B464" s="26" t="s">
        <v>789</v>
      </c>
      <c r="C464" s="26" t="s">
        <v>1193</v>
      </c>
      <c r="D464" s="130">
        <v>23</v>
      </c>
      <c r="E464" s="51">
        <v>50</v>
      </c>
      <c r="F464" s="27">
        <v>10</v>
      </c>
      <c r="G464" s="41">
        <f>InventoryList[[#This Row],[NLC (NET LANDING COST]]*InventoryList[[#This Row],[Quantity in stock]]</f>
        <v>230</v>
      </c>
      <c r="H464" s="62"/>
      <c r="I464" s="22"/>
    </row>
    <row r="465" spans="1:9" ht="30" customHeight="1">
      <c r="A465" s="25">
        <v>427</v>
      </c>
      <c r="B465" s="26" t="s">
        <v>790</v>
      </c>
      <c r="C465" s="26" t="s">
        <v>1194</v>
      </c>
      <c r="D465" s="130">
        <v>9</v>
      </c>
      <c r="E465" s="51">
        <v>25</v>
      </c>
      <c r="F465" s="27">
        <v>10</v>
      </c>
      <c r="G465" s="41">
        <f>InventoryList[[#This Row],[NLC (NET LANDING COST]]*InventoryList[[#This Row],[Quantity in stock]]</f>
        <v>90</v>
      </c>
      <c r="H465" s="62"/>
      <c r="I465" s="22"/>
    </row>
    <row r="466" spans="1:9" ht="30" customHeight="1">
      <c r="A466" s="28" t="s">
        <v>861</v>
      </c>
      <c r="B466" s="29" t="s">
        <v>876</v>
      </c>
      <c r="C466" s="29"/>
      <c r="D466" s="130" t="s">
        <v>120</v>
      </c>
      <c r="E466" s="43">
        <v>8075</v>
      </c>
      <c r="F466" s="30" t="s">
        <v>323</v>
      </c>
      <c r="G466" s="54"/>
      <c r="H466" s="67" t="s">
        <v>874</v>
      </c>
      <c r="I466" s="22"/>
    </row>
    <row r="467" spans="1:9" ht="30" customHeight="1">
      <c r="A467" s="25">
        <v>428</v>
      </c>
      <c r="B467" s="26" t="s">
        <v>791</v>
      </c>
      <c r="C467" s="26" t="s">
        <v>1157</v>
      </c>
      <c r="D467" s="130">
        <v>175</v>
      </c>
      <c r="E467" s="51">
        <v>1</v>
      </c>
      <c r="F467" s="27">
        <v>5</v>
      </c>
      <c r="G467" s="41">
        <f>InventoryList[[#This Row],[NLC (NET LANDING COST]]*InventoryList[[#This Row],[Quantity in stock]]</f>
        <v>875</v>
      </c>
      <c r="H467" s="62"/>
      <c r="I467" s="22"/>
    </row>
    <row r="468" spans="1:9" ht="30" customHeight="1">
      <c r="A468" s="25">
        <v>429</v>
      </c>
      <c r="B468" s="26" t="s">
        <v>792</v>
      </c>
      <c r="C468" s="26" t="s">
        <v>948</v>
      </c>
      <c r="D468" s="130">
        <v>50</v>
      </c>
      <c r="E468" s="51">
        <v>120</v>
      </c>
      <c r="F468" s="27">
        <v>10</v>
      </c>
      <c r="G468" s="41">
        <f>InventoryList[[#This Row],[NLC (NET LANDING COST]]*InventoryList[[#This Row],[Quantity in stock]]</f>
        <v>500</v>
      </c>
      <c r="H468" s="62"/>
      <c r="I468" s="22"/>
    </row>
    <row r="469" spans="1:9" ht="30" customHeight="1">
      <c r="A469" s="25">
        <v>430</v>
      </c>
      <c r="B469" s="26" t="s">
        <v>793</v>
      </c>
      <c r="C469" s="26" t="s">
        <v>877</v>
      </c>
      <c r="D469" s="130">
        <v>6</v>
      </c>
      <c r="E469" s="51">
        <v>40</v>
      </c>
      <c r="F469" s="27">
        <v>20</v>
      </c>
      <c r="G469" s="41">
        <f>InventoryList[[#This Row],[NLC (NET LANDING COST]]*InventoryList[[#This Row],[Quantity in stock]]</f>
        <v>120</v>
      </c>
      <c r="H469" s="62"/>
      <c r="I469" s="22"/>
    </row>
    <row r="470" spans="1:9" ht="30" customHeight="1">
      <c r="A470" s="25">
        <v>431</v>
      </c>
      <c r="B470" s="26" t="s">
        <v>794</v>
      </c>
      <c r="C470" s="26" t="s">
        <v>878</v>
      </c>
      <c r="D470" s="130">
        <v>5</v>
      </c>
      <c r="E470" s="51">
        <v>10</v>
      </c>
      <c r="F470" s="27">
        <v>100</v>
      </c>
      <c r="G470" s="41">
        <f>InventoryList[[#This Row],[NLC (NET LANDING COST]]*InventoryList[[#This Row],[Quantity in stock]]</f>
        <v>500</v>
      </c>
      <c r="H470" s="62"/>
      <c r="I470" s="22"/>
    </row>
    <row r="471" spans="1:9" ht="30" customHeight="1">
      <c r="A471" s="25">
        <v>432</v>
      </c>
      <c r="B471" s="26" t="s">
        <v>795</v>
      </c>
      <c r="C471" s="26" t="s">
        <v>879</v>
      </c>
      <c r="D471" s="130">
        <v>140</v>
      </c>
      <c r="E471" s="51">
        <v>250</v>
      </c>
      <c r="F471" s="27">
        <v>5</v>
      </c>
      <c r="G471" s="41">
        <f>InventoryList[[#This Row],[NLC (NET LANDING COST]]*InventoryList[[#This Row],[Quantity in stock]]</f>
        <v>700</v>
      </c>
      <c r="H471" s="62"/>
      <c r="I471" s="22"/>
    </row>
    <row r="472" spans="1:9" ht="30" customHeight="1">
      <c r="A472" s="25">
        <v>433</v>
      </c>
      <c r="B472" s="26" t="s">
        <v>796</v>
      </c>
      <c r="C472" s="26" t="s">
        <v>880</v>
      </c>
      <c r="D472" s="130">
        <v>220</v>
      </c>
      <c r="E472" s="51">
        <v>350</v>
      </c>
      <c r="F472" s="27">
        <v>3</v>
      </c>
      <c r="G472" s="41">
        <f>InventoryList[[#This Row],[NLC (NET LANDING COST]]*InventoryList[[#This Row],[Quantity in stock]]</f>
        <v>660</v>
      </c>
      <c r="H472" s="62"/>
      <c r="I472" s="22"/>
    </row>
    <row r="473" spans="1:9" ht="30" customHeight="1">
      <c r="A473" s="25">
        <v>434</v>
      </c>
      <c r="B473" s="26" t="s">
        <v>797</v>
      </c>
      <c r="C473" s="26" t="s">
        <v>1195</v>
      </c>
      <c r="D473" s="130">
        <v>1200</v>
      </c>
      <c r="E473" s="51">
        <v>1700</v>
      </c>
      <c r="F473" s="27">
        <v>3</v>
      </c>
      <c r="G473" s="41">
        <f>InventoryList[[#This Row],[NLC (NET LANDING COST]]*InventoryList[[#This Row],[Quantity in stock]]</f>
        <v>3600</v>
      </c>
      <c r="H473" s="62"/>
      <c r="I473" s="22"/>
    </row>
    <row r="474" spans="1:9" ht="30" customHeight="1">
      <c r="A474" s="25">
        <v>435</v>
      </c>
      <c r="B474" s="26" t="s">
        <v>798</v>
      </c>
      <c r="C474" s="26" t="s">
        <v>1196</v>
      </c>
      <c r="D474" s="130">
        <v>1200</v>
      </c>
      <c r="E474" s="51">
        <v>1700</v>
      </c>
      <c r="F474" s="27">
        <v>3</v>
      </c>
      <c r="G474" s="41">
        <f>InventoryList[[#This Row],[NLC (NET LANDING COST]]*InventoryList[[#This Row],[Quantity in stock]]</f>
        <v>3600</v>
      </c>
      <c r="H474" s="62"/>
      <c r="I474" s="22"/>
    </row>
    <row r="475" spans="1:9" ht="30" customHeight="1">
      <c r="A475" s="25">
        <v>436</v>
      </c>
      <c r="B475" s="26" t="s">
        <v>799</v>
      </c>
      <c r="C475" s="26" t="s">
        <v>881</v>
      </c>
      <c r="D475" s="130">
        <v>850</v>
      </c>
      <c r="E475" s="51">
        <v>1400</v>
      </c>
      <c r="F475" s="27">
        <v>1</v>
      </c>
      <c r="G475" s="41">
        <f>InventoryList[[#This Row],[NLC (NET LANDING COST]]*InventoryList[[#This Row],[Quantity in stock]]</f>
        <v>850</v>
      </c>
      <c r="H475" s="62"/>
      <c r="I475" s="22"/>
    </row>
    <row r="476" spans="1:9" ht="30" customHeight="1">
      <c r="A476" s="25">
        <v>437</v>
      </c>
      <c r="B476" s="26" t="s">
        <v>800</v>
      </c>
      <c r="C476" s="79" t="s">
        <v>882</v>
      </c>
      <c r="D476" s="130">
        <v>12</v>
      </c>
      <c r="E476" s="51">
        <v>60</v>
      </c>
      <c r="F476" s="27">
        <v>20</v>
      </c>
      <c r="G476" s="41">
        <f>InventoryList[[#This Row],[NLC (NET LANDING COST]]*InventoryList[[#This Row],[Quantity in stock]]</f>
        <v>240</v>
      </c>
      <c r="H476" s="62"/>
      <c r="I476" s="22"/>
    </row>
    <row r="477" spans="1:9" ht="30" customHeight="1">
      <c r="A477" s="25">
        <v>438</v>
      </c>
      <c r="B477" s="26" t="s">
        <v>801</v>
      </c>
      <c r="C477" s="26" t="s">
        <v>949</v>
      </c>
      <c r="D477" s="130">
        <v>40</v>
      </c>
      <c r="E477" s="51">
        <v>100</v>
      </c>
      <c r="F477" s="27">
        <v>20</v>
      </c>
      <c r="G477" s="41">
        <f>InventoryList[[#This Row],[NLC (NET LANDING COST]]*InventoryList[[#This Row],[Quantity in stock]]</f>
        <v>800</v>
      </c>
      <c r="H477" s="62"/>
      <c r="I477" s="22"/>
    </row>
    <row r="478" spans="1:9" ht="30" customHeight="1">
      <c r="A478" s="25">
        <v>439</v>
      </c>
      <c r="B478" s="26" t="s">
        <v>802</v>
      </c>
      <c r="C478" s="26" t="s">
        <v>950</v>
      </c>
      <c r="D478" s="130">
        <v>30</v>
      </c>
      <c r="E478" s="51">
        <v>70</v>
      </c>
      <c r="F478" s="27">
        <v>20</v>
      </c>
      <c r="G478" s="41">
        <f>InventoryList[[#This Row],[NLC (NET LANDING COST]]*InventoryList[[#This Row],[Quantity in stock]]</f>
        <v>600</v>
      </c>
      <c r="H478" s="62"/>
      <c r="I478" s="22"/>
    </row>
    <row r="479" spans="1:9" ht="30" customHeight="1">
      <c r="A479" s="25">
        <v>440</v>
      </c>
      <c r="B479" s="26" t="s">
        <v>803</v>
      </c>
      <c r="C479" s="26" t="s">
        <v>883</v>
      </c>
      <c r="D479" s="130">
        <v>1300</v>
      </c>
      <c r="E479" s="51">
        <v>140</v>
      </c>
      <c r="F479" s="27">
        <v>17.600000000000001</v>
      </c>
      <c r="G479" s="41">
        <f>InventoryList[[#This Row],[NLC (NET LANDING COST]]*InventoryList[[#This Row],[Quantity in stock]]</f>
        <v>22880.000000000004</v>
      </c>
      <c r="H479" s="62"/>
      <c r="I479" s="22"/>
    </row>
    <row r="480" spans="1:9" ht="30" customHeight="1">
      <c r="A480" s="25">
        <v>441</v>
      </c>
      <c r="B480" s="26" t="s">
        <v>804</v>
      </c>
      <c r="C480" s="79" t="s">
        <v>884</v>
      </c>
      <c r="D480" s="130">
        <v>1300</v>
      </c>
      <c r="E480" s="51">
        <v>130</v>
      </c>
      <c r="F480" s="27">
        <v>7.82</v>
      </c>
      <c r="G480" s="41">
        <f>InventoryList[[#This Row],[NLC (NET LANDING COST]]*InventoryList[[#This Row],[Quantity in stock]]</f>
        <v>10166</v>
      </c>
      <c r="H480" s="62"/>
      <c r="I480" s="22"/>
    </row>
    <row r="481" spans="1:9" ht="30" customHeight="1">
      <c r="A481" s="25">
        <v>442</v>
      </c>
      <c r="B481" s="26" t="s">
        <v>805</v>
      </c>
      <c r="C481" s="26" t="s">
        <v>885</v>
      </c>
      <c r="D481" s="130">
        <v>260</v>
      </c>
      <c r="E481" s="51">
        <v>400</v>
      </c>
      <c r="F481" s="27">
        <v>25</v>
      </c>
      <c r="G481" s="41">
        <f>InventoryList[[#This Row],[NLC (NET LANDING COST]]*InventoryList[[#This Row],[Quantity in stock]]</f>
        <v>6500</v>
      </c>
      <c r="H481" s="62"/>
      <c r="I481" s="22"/>
    </row>
    <row r="482" spans="1:9" ht="30" customHeight="1">
      <c r="A482" s="25">
        <v>443</v>
      </c>
      <c r="B482" s="26" t="s">
        <v>806</v>
      </c>
      <c r="C482" s="26" t="s">
        <v>886</v>
      </c>
      <c r="D482" s="130">
        <v>360</v>
      </c>
      <c r="E482" s="51">
        <v>475</v>
      </c>
      <c r="F482" s="27">
        <v>15</v>
      </c>
      <c r="G482" s="41">
        <f>InventoryList[[#This Row],[NLC (NET LANDING COST]]*InventoryList[[#This Row],[Quantity in stock]]</f>
        <v>5400</v>
      </c>
      <c r="H482" s="62"/>
      <c r="I482" s="22"/>
    </row>
    <row r="483" spans="1:9" ht="30" customHeight="1">
      <c r="A483" s="25">
        <v>444</v>
      </c>
      <c r="B483" s="26" t="s">
        <v>807</v>
      </c>
      <c r="C483" s="79" t="s">
        <v>582</v>
      </c>
      <c r="D483" s="130">
        <v>4000</v>
      </c>
      <c r="E483" s="51">
        <v>200</v>
      </c>
      <c r="F483" s="27">
        <v>2</v>
      </c>
      <c r="G483" s="41">
        <f>InventoryList[[#This Row],[NLC (NET LANDING COST]]*InventoryList[[#This Row],[Quantity in stock]]</f>
        <v>8000</v>
      </c>
      <c r="H483" s="62"/>
      <c r="I483" s="22"/>
    </row>
    <row r="484" spans="1:9" ht="30" customHeight="1">
      <c r="A484" s="25">
        <v>445</v>
      </c>
      <c r="B484" s="26" t="s">
        <v>808</v>
      </c>
      <c r="C484" s="79" t="s">
        <v>581</v>
      </c>
      <c r="D484" s="130">
        <v>5500</v>
      </c>
      <c r="E484" s="51">
        <v>325</v>
      </c>
      <c r="F484" s="27">
        <v>2</v>
      </c>
      <c r="G484" s="41">
        <f>InventoryList[[#This Row],[NLC (NET LANDING COST]]*InventoryList[[#This Row],[Quantity in stock]]</f>
        <v>11000</v>
      </c>
      <c r="H484" s="62"/>
      <c r="I484" s="22"/>
    </row>
    <row r="485" spans="1:9" ht="30" customHeight="1">
      <c r="A485" s="28" t="s">
        <v>51</v>
      </c>
      <c r="B485" s="29" t="s">
        <v>887</v>
      </c>
      <c r="C485" s="29" t="s">
        <v>525</v>
      </c>
      <c r="D485" s="130" t="s">
        <v>120</v>
      </c>
      <c r="E485" s="43"/>
      <c r="F485" s="30" t="s">
        <v>888</v>
      </c>
      <c r="G485" s="54"/>
      <c r="H485" s="67">
        <v>76566</v>
      </c>
      <c r="I485" s="22"/>
    </row>
    <row r="486" spans="1:9" ht="30" customHeight="1">
      <c r="A486" s="25">
        <v>446</v>
      </c>
      <c r="B486" s="26" t="s">
        <v>809</v>
      </c>
      <c r="C486" s="79" t="s">
        <v>583</v>
      </c>
      <c r="D486" s="130">
        <v>4400</v>
      </c>
      <c r="E486" s="51">
        <v>300</v>
      </c>
      <c r="F486" s="27">
        <v>2</v>
      </c>
      <c r="G486" s="41">
        <f>InventoryList[[#This Row],[NLC (NET LANDING COST]]*InventoryList[[#This Row],[Quantity in stock]]</f>
        <v>8800</v>
      </c>
      <c r="H486" s="62"/>
      <c r="I486" s="22"/>
    </row>
    <row r="487" spans="1:9" ht="30" customHeight="1">
      <c r="A487" s="25">
        <v>447</v>
      </c>
      <c r="B487" s="26" t="s">
        <v>810</v>
      </c>
      <c r="C487" s="26" t="s">
        <v>584</v>
      </c>
      <c r="D487" s="130">
        <v>330</v>
      </c>
      <c r="E487" s="51">
        <v>360</v>
      </c>
      <c r="F487" s="27">
        <v>108</v>
      </c>
      <c r="G487" s="41">
        <f>InventoryList[[#This Row],[NLC (NET LANDING COST]]*InventoryList[[#This Row],[Quantity in stock]]</f>
        <v>35640</v>
      </c>
      <c r="H487" s="62"/>
      <c r="I487" s="22"/>
    </row>
    <row r="488" spans="1:9" ht="30" customHeight="1">
      <c r="A488" s="25">
        <v>448</v>
      </c>
      <c r="B488" s="26" t="s">
        <v>811</v>
      </c>
      <c r="C488" s="79" t="s">
        <v>951</v>
      </c>
      <c r="D488" s="130">
        <v>1750</v>
      </c>
      <c r="E488" s="51">
        <v>2500</v>
      </c>
      <c r="F488" s="27">
        <v>10</v>
      </c>
      <c r="G488" s="41">
        <f>InventoryList[[#This Row],[NLC (NET LANDING COST]]*InventoryList[[#This Row],[Quantity in stock]]</f>
        <v>17500</v>
      </c>
      <c r="H488" s="62"/>
      <c r="I488" s="22"/>
    </row>
    <row r="489" spans="1:9" ht="30" customHeight="1">
      <c r="A489" s="25">
        <v>449</v>
      </c>
      <c r="B489" s="26" t="s">
        <v>812</v>
      </c>
      <c r="C489" s="79" t="s">
        <v>952</v>
      </c>
      <c r="D489" s="130">
        <v>1450</v>
      </c>
      <c r="E489" s="51">
        <v>1750</v>
      </c>
      <c r="F489" s="27">
        <v>10</v>
      </c>
      <c r="G489" s="41">
        <f>InventoryList[[#This Row],[NLC (NET LANDING COST]]*InventoryList[[#This Row],[Quantity in stock]]</f>
        <v>14500</v>
      </c>
      <c r="H489" s="62"/>
      <c r="I489" s="22"/>
    </row>
    <row r="490" spans="1:9" ht="30" customHeight="1">
      <c r="A490" s="25">
        <v>450</v>
      </c>
      <c r="B490" s="26" t="s">
        <v>813</v>
      </c>
      <c r="C490" s="79" t="s">
        <v>953</v>
      </c>
      <c r="D490" s="130">
        <v>1520</v>
      </c>
      <c r="E490" s="51">
        <v>1800</v>
      </c>
      <c r="F490" s="27">
        <v>5</v>
      </c>
      <c r="G490" s="41">
        <f>InventoryList[[#This Row],[NLC (NET LANDING COST]]*InventoryList[[#This Row],[Quantity in stock]]</f>
        <v>7600</v>
      </c>
      <c r="H490" s="62"/>
      <c r="I490" s="22"/>
    </row>
    <row r="491" spans="1:9" ht="30" customHeight="1">
      <c r="A491" s="25">
        <v>451</v>
      </c>
      <c r="B491" s="26" t="s">
        <v>814</v>
      </c>
      <c r="C491" s="79" t="s">
        <v>954</v>
      </c>
      <c r="D491" s="130">
        <v>950</v>
      </c>
      <c r="E491" s="51">
        <v>1700</v>
      </c>
      <c r="F491" s="27">
        <v>5</v>
      </c>
      <c r="G491" s="41">
        <f>InventoryList[[#This Row],[NLC (NET LANDING COST]]*InventoryList[[#This Row],[Quantity in stock]]</f>
        <v>4750</v>
      </c>
      <c r="H491" s="62"/>
      <c r="I491" s="22"/>
    </row>
    <row r="492" spans="1:9" ht="30" customHeight="1">
      <c r="A492" s="25">
        <v>452</v>
      </c>
      <c r="B492" s="26" t="s">
        <v>889</v>
      </c>
      <c r="C492" s="26" t="s">
        <v>708</v>
      </c>
      <c r="D492" s="130">
        <v>180</v>
      </c>
      <c r="E492" s="51">
        <v>210</v>
      </c>
      <c r="F492" s="27">
        <v>30</v>
      </c>
      <c r="G492" s="41">
        <f>InventoryList[[#This Row],[NLC (NET LANDING COST]]*InventoryList[[#This Row],[Quantity in stock]]</f>
        <v>5400</v>
      </c>
      <c r="H492" s="62"/>
      <c r="I492" s="22"/>
    </row>
    <row r="493" spans="1:9" ht="30" customHeight="1">
      <c r="A493" s="25">
        <v>453</v>
      </c>
      <c r="B493" s="26" t="s">
        <v>890</v>
      </c>
      <c r="C493" s="26" t="s">
        <v>955</v>
      </c>
      <c r="D493" s="130">
        <v>20</v>
      </c>
      <c r="E493" s="51">
        <v>30</v>
      </c>
      <c r="F493" s="27">
        <v>100</v>
      </c>
      <c r="G493" s="41">
        <f>InventoryList[[#This Row],[NLC (NET LANDING COST]]*InventoryList[[#This Row],[Quantity in stock]]</f>
        <v>2000</v>
      </c>
      <c r="H493" s="62"/>
      <c r="I493" s="22"/>
    </row>
    <row r="494" spans="1:9" ht="30" customHeight="1">
      <c r="A494" s="25">
        <v>454</v>
      </c>
      <c r="B494" s="26" t="s">
        <v>891</v>
      </c>
      <c r="C494" s="79" t="s">
        <v>1225</v>
      </c>
      <c r="D494" s="130">
        <v>520</v>
      </c>
      <c r="E494" s="51">
        <v>700</v>
      </c>
      <c r="F494" s="27">
        <v>8</v>
      </c>
      <c r="G494" s="41">
        <f>InventoryList[[#This Row],[NLC (NET LANDING COST]]*InventoryList[[#This Row],[Quantity in stock]]</f>
        <v>4160</v>
      </c>
      <c r="H494" s="62"/>
      <c r="I494" s="22"/>
    </row>
    <row r="495" spans="1:9" ht="30" customHeight="1">
      <c r="A495" s="25">
        <v>455</v>
      </c>
      <c r="B495" s="26" t="s">
        <v>892</v>
      </c>
      <c r="C495" s="26" t="s">
        <v>956</v>
      </c>
      <c r="D495" s="130">
        <v>100</v>
      </c>
      <c r="E495" s="51">
        <v>150</v>
      </c>
      <c r="F495" s="27">
        <v>10</v>
      </c>
      <c r="G495" s="41">
        <f>InventoryList[[#This Row],[NLC (NET LANDING COST]]*InventoryList[[#This Row],[Quantity in stock]]</f>
        <v>1000</v>
      </c>
      <c r="H495" s="62"/>
      <c r="I495" s="22"/>
    </row>
    <row r="496" spans="1:9" ht="30" customHeight="1">
      <c r="A496" s="25">
        <v>456</v>
      </c>
      <c r="B496" s="26" t="s">
        <v>893</v>
      </c>
      <c r="C496" s="26" t="s">
        <v>957</v>
      </c>
      <c r="D496" s="130">
        <v>100</v>
      </c>
      <c r="E496" s="51">
        <v>150</v>
      </c>
      <c r="F496" s="27">
        <v>10</v>
      </c>
      <c r="G496" s="41">
        <f>InventoryList[[#This Row],[NLC (NET LANDING COST]]*InventoryList[[#This Row],[Quantity in stock]]</f>
        <v>1000</v>
      </c>
      <c r="H496" s="62"/>
      <c r="I496" s="22"/>
    </row>
    <row r="497" spans="1:9" ht="30" customHeight="1">
      <c r="A497" s="25">
        <v>457</v>
      </c>
      <c r="B497" s="26" t="s">
        <v>894</v>
      </c>
      <c r="C497" s="26" t="s">
        <v>958</v>
      </c>
      <c r="D497" s="130">
        <v>3550</v>
      </c>
      <c r="E497" s="51">
        <v>4200</v>
      </c>
      <c r="F497" s="27">
        <v>2</v>
      </c>
      <c r="G497" s="41">
        <f>InventoryList[[#This Row],[NLC (NET LANDING COST]]*InventoryList[[#This Row],[Quantity in stock]]</f>
        <v>7100</v>
      </c>
      <c r="H497" s="62"/>
      <c r="I497" s="22"/>
    </row>
    <row r="498" spans="1:9" ht="30" customHeight="1">
      <c r="A498" s="25">
        <v>458</v>
      </c>
      <c r="B498" s="26" t="s">
        <v>895</v>
      </c>
      <c r="C498" s="26" t="s">
        <v>959</v>
      </c>
      <c r="D498" s="130">
        <v>50</v>
      </c>
      <c r="E498" s="51">
        <v>100</v>
      </c>
      <c r="F498" s="27">
        <v>10</v>
      </c>
      <c r="G498" s="41">
        <f>InventoryList[[#This Row],[NLC (NET LANDING COST]]*InventoryList[[#This Row],[Quantity in stock]]</f>
        <v>500</v>
      </c>
      <c r="H498" s="62"/>
      <c r="I498" s="22"/>
    </row>
    <row r="499" spans="1:9" ht="30" customHeight="1">
      <c r="A499" s="25">
        <v>459</v>
      </c>
      <c r="B499" s="26" t="s">
        <v>896</v>
      </c>
      <c r="C499" s="26" t="s">
        <v>960</v>
      </c>
      <c r="D499" s="130">
        <v>2400</v>
      </c>
      <c r="E499" s="51">
        <v>2800</v>
      </c>
      <c r="F499" s="27">
        <v>2</v>
      </c>
      <c r="G499" s="41">
        <f>InventoryList[[#This Row],[NLC (NET LANDING COST]]*InventoryList[[#This Row],[Quantity in stock]]</f>
        <v>4800</v>
      </c>
      <c r="H499" s="62"/>
      <c r="I499" s="22"/>
    </row>
    <row r="500" spans="1:9" ht="30" customHeight="1">
      <c r="A500" s="25">
        <v>460</v>
      </c>
      <c r="B500" s="26" t="s">
        <v>897</v>
      </c>
      <c r="C500" s="26" t="s">
        <v>961</v>
      </c>
      <c r="D500" s="130">
        <v>3800</v>
      </c>
      <c r="E500" s="51">
        <v>4200</v>
      </c>
      <c r="F500" s="27">
        <v>2</v>
      </c>
      <c r="G500" s="41">
        <f>InventoryList[[#This Row],[NLC (NET LANDING COST]]*InventoryList[[#This Row],[Quantity in stock]]</f>
        <v>7600</v>
      </c>
      <c r="H500" s="62"/>
      <c r="I500" s="22"/>
    </row>
    <row r="501" spans="1:9" ht="30" customHeight="1">
      <c r="A501" s="25">
        <v>461</v>
      </c>
      <c r="B501" s="26" t="s">
        <v>898</v>
      </c>
      <c r="C501" s="26" t="s">
        <v>962</v>
      </c>
      <c r="D501" s="130">
        <v>580</v>
      </c>
      <c r="E501" s="51">
        <v>800</v>
      </c>
      <c r="F501" s="27">
        <v>2</v>
      </c>
      <c r="G501" s="41">
        <f>InventoryList[[#This Row],[NLC (NET LANDING COST]]*InventoryList[[#This Row],[Quantity in stock]]</f>
        <v>1160</v>
      </c>
      <c r="H501" s="62"/>
      <c r="I501" s="22"/>
    </row>
    <row r="502" spans="1:9" ht="30" customHeight="1">
      <c r="A502" s="25">
        <v>462</v>
      </c>
      <c r="B502" s="26" t="s">
        <v>899</v>
      </c>
      <c r="C502" s="26" t="s">
        <v>963</v>
      </c>
      <c r="D502" s="130">
        <v>380</v>
      </c>
      <c r="E502" s="51">
        <v>550</v>
      </c>
      <c r="F502" s="27">
        <v>3</v>
      </c>
      <c r="G502" s="41">
        <f>InventoryList[[#This Row],[NLC (NET LANDING COST]]*InventoryList[[#This Row],[Quantity in stock]]</f>
        <v>1140</v>
      </c>
      <c r="H502" s="62"/>
      <c r="I502" s="22"/>
    </row>
    <row r="503" spans="1:9" ht="30" customHeight="1">
      <c r="A503" s="25">
        <v>463</v>
      </c>
      <c r="B503" s="26" t="s">
        <v>900</v>
      </c>
      <c r="C503" s="26" t="s">
        <v>964</v>
      </c>
      <c r="D503" s="130">
        <v>220</v>
      </c>
      <c r="E503" s="51">
        <v>350</v>
      </c>
      <c r="F503" s="27">
        <v>5</v>
      </c>
      <c r="G503" s="41">
        <f>InventoryList[[#This Row],[NLC (NET LANDING COST]]*InventoryList[[#This Row],[Quantity in stock]]</f>
        <v>1100</v>
      </c>
      <c r="H503" s="62"/>
      <c r="I503" s="22"/>
    </row>
    <row r="504" spans="1:9" ht="30" customHeight="1">
      <c r="A504" s="28" t="s">
        <v>51</v>
      </c>
      <c r="B504" s="29" t="s">
        <v>965</v>
      </c>
      <c r="C504" s="29" t="s">
        <v>525</v>
      </c>
      <c r="D504" s="130" t="s">
        <v>120</v>
      </c>
      <c r="E504" s="43"/>
      <c r="F504" s="30" t="s">
        <v>888</v>
      </c>
      <c r="G504" s="54"/>
      <c r="H504" s="67">
        <v>76566</v>
      </c>
      <c r="I504" s="22"/>
    </row>
    <row r="505" spans="1:9" ht="30" customHeight="1">
      <c r="A505" s="22">
        <v>464</v>
      </c>
      <c r="B505" s="26" t="s">
        <v>901</v>
      </c>
      <c r="C505" s="26" t="s">
        <v>966</v>
      </c>
      <c r="D505" s="130">
        <v>250</v>
      </c>
      <c r="E505" s="51">
        <v>310</v>
      </c>
      <c r="F505" s="27">
        <v>12</v>
      </c>
      <c r="G505" s="41">
        <f>InventoryList[[#This Row],[NLC (NET LANDING COST]]*InventoryList[[#This Row],[Quantity in stock]]</f>
        <v>3000</v>
      </c>
      <c r="H505" s="62"/>
      <c r="I505" s="22"/>
    </row>
    <row r="506" spans="1:9" ht="30" customHeight="1">
      <c r="A506" s="22">
        <v>465</v>
      </c>
      <c r="B506" s="26" t="s">
        <v>902</v>
      </c>
      <c r="C506" s="26" t="s">
        <v>967</v>
      </c>
      <c r="D506" s="130">
        <v>270</v>
      </c>
      <c r="E506" s="51">
        <v>320</v>
      </c>
      <c r="F506" s="27">
        <v>6</v>
      </c>
      <c r="G506" s="41">
        <f>InventoryList[[#This Row],[NLC (NET LANDING COST]]*InventoryList[[#This Row],[Quantity in stock]]</f>
        <v>1620</v>
      </c>
      <c r="H506" s="62"/>
      <c r="I506" s="22"/>
    </row>
    <row r="507" spans="1:9" ht="30" customHeight="1">
      <c r="A507" s="22">
        <v>466</v>
      </c>
      <c r="B507" s="26" t="s">
        <v>903</v>
      </c>
      <c r="C507" s="26" t="s">
        <v>968</v>
      </c>
      <c r="D507" s="130">
        <v>50</v>
      </c>
      <c r="E507" s="51">
        <v>100</v>
      </c>
      <c r="F507" s="27">
        <v>10</v>
      </c>
      <c r="G507" s="41">
        <f>InventoryList[[#This Row],[NLC (NET LANDING COST]]*InventoryList[[#This Row],[Quantity in stock]]</f>
        <v>500</v>
      </c>
      <c r="H507" s="62"/>
      <c r="I507" s="22"/>
    </row>
    <row r="508" spans="1:9" ht="30" customHeight="1">
      <c r="A508" s="22">
        <v>467</v>
      </c>
      <c r="B508" s="26" t="s">
        <v>904</v>
      </c>
      <c r="C508" s="26" t="s">
        <v>969</v>
      </c>
      <c r="D508" s="130">
        <v>90</v>
      </c>
      <c r="E508" s="51">
        <v>120</v>
      </c>
      <c r="F508" s="27">
        <v>10</v>
      </c>
      <c r="G508" s="41">
        <f>InventoryList[[#This Row],[NLC (NET LANDING COST]]*InventoryList[[#This Row],[Quantity in stock]]</f>
        <v>900</v>
      </c>
      <c r="H508" s="62"/>
      <c r="I508" s="22"/>
    </row>
    <row r="509" spans="1:9" ht="30" customHeight="1">
      <c r="A509" s="22">
        <v>468</v>
      </c>
      <c r="B509" s="26" t="s">
        <v>905</v>
      </c>
      <c r="C509" s="26" t="s">
        <v>970</v>
      </c>
      <c r="D509" s="130">
        <v>130</v>
      </c>
      <c r="E509" s="51">
        <v>200</v>
      </c>
      <c r="F509" s="27">
        <v>10</v>
      </c>
      <c r="G509" s="41">
        <f>InventoryList[[#This Row],[NLC (NET LANDING COST]]*InventoryList[[#This Row],[Quantity in stock]]</f>
        <v>1300</v>
      </c>
      <c r="H509" s="62"/>
      <c r="I509" s="22"/>
    </row>
    <row r="510" spans="1:9" ht="30" customHeight="1">
      <c r="A510" s="22">
        <v>469</v>
      </c>
      <c r="B510" s="26" t="s">
        <v>906</v>
      </c>
      <c r="C510" s="26" t="s">
        <v>971</v>
      </c>
      <c r="D510" s="130">
        <v>320</v>
      </c>
      <c r="E510" s="51">
        <v>0.66666666666666496</v>
      </c>
      <c r="F510" s="27">
        <v>1.5</v>
      </c>
      <c r="G510" s="41">
        <f>InventoryList[[#This Row],[NLC (NET LANDING COST]]*InventoryList[[#This Row],[Quantity in stock]]</f>
        <v>480</v>
      </c>
      <c r="H510" s="62"/>
      <c r="I510" s="22"/>
    </row>
    <row r="511" spans="1:9" ht="30" customHeight="1">
      <c r="A511" s="28" t="s">
        <v>51</v>
      </c>
      <c r="B511" s="29" t="s">
        <v>972</v>
      </c>
      <c r="C511" s="29" t="s">
        <v>525</v>
      </c>
      <c r="D511" s="130" t="s">
        <v>120</v>
      </c>
      <c r="E511" s="43"/>
      <c r="F511" s="30" t="s">
        <v>888</v>
      </c>
      <c r="G511" s="54"/>
      <c r="H511" s="67">
        <v>76566</v>
      </c>
      <c r="I511" s="22"/>
    </row>
    <row r="512" spans="1:9" ht="30" customHeight="1">
      <c r="A512" s="22">
        <v>470</v>
      </c>
      <c r="B512" s="26" t="s">
        <v>907</v>
      </c>
      <c r="C512" s="26" t="s">
        <v>973</v>
      </c>
      <c r="D512" s="130">
        <v>140</v>
      </c>
      <c r="E512" s="51">
        <v>300</v>
      </c>
      <c r="F512" s="27">
        <v>3</v>
      </c>
      <c r="G512" s="41">
        <f>InventoryList[[#This Row],[NLC (NET LANDING COST]]*InventoryList[[#This Row],[Quantity in stock]]</f>
        <v>420</v>
      </c>
      <c r="H512" s="62"/>
      <c r="I512" s="22"/>
    </row>
    <row r="513" spans="1:9" ht="30" customHeight="1">
      <c r="A513" s="22">
        <v>471</v>
      </c>
      <c r="B513" s="26" t="s">
        <v>908</v>
      </c>
      <c r="C513" s="26" t="s">
        <v>827</v>
      </c>
      <c r="D513" s="130">
        <v>135</v>
      </c>
      <c r="E513" s="51">
        <v>250</v>
      </c>
      <c r="F513" s="27">
        <v>20</v>
      </c>
      <c r="G513" s="41">
        <f>InventoryList[[#This Row],[NLC (NET LANDING COST]]*InventoryList[[#This Row],[Quantity in stock]]</f>
        <v>2700</v>
      </c>
      <c r="H513" s="62"/>
      <c r="I513" s="22"/>
    </row>
    <row r="514" spans="1:9" ht="30" customHeight="1">
      <c r="A514" s="22">
        <v>472</v>
      </c>
      <c r="B514" s="26" t="s">
        <v>909</v>
      </c>
      <c r="C514" s="26" t="s">
        <v>828</v>
      </c>
      <c r="D514" s="130">
        <v>155</v>
      </c>
      <c r="E514" s="51">
        <v>350</v>
      </c>
      <c r="F514" s="27">
        <v>20</v>
      </c>
      <c r="G514" s="41">
        <f>InventoryList[[#This Row],[NLC (NET LANDING COST]]*InventoryList[[#This Row],[Quantity in stock]]</f>
        <v>3100</v>
      </c>
      <c r="H514" s="62"/>
      <c r="I514" s="22"/>
    </row>
    <row r="515" spans="1:9" ht="30" customHeight="1">
      <c r="A515" s="22">
        <v>473</v>
      </c>
      <c r="B515" s="26" t="s">
        <v>910</v>
      </c>
      <c r="C515" s="26" t="s">
        <v>974</v>
      </c>
      <c r="D515" s="130">
        <v>2610</v>
      </c>
      <c r="E515" s="51">
        <v>40</v>
      </c>
      <c r="F515" s="27">
        <v>1</v>
      </c>
      <c r="G515" s="41">
        <f>InventoryList[[#This Row],[NLC (NET LANDING COST]]*InventoryList[[#This Row],[Quantity in stock]]</f>
        <v>2610</v>
      </c>
      <c r="H515" s="62"/>
      <c r="I515" s="22"/>
    </row>
    <row r="516" spans="1:9" ht="30" customHeight="1">
      <c r="A516" s="22">
        <v>474</v>
      </c>
      <c r="B516" s="26" t="s">
        <v>911</v>
      </c>
      <c r="C516" s="79" t="s">
        <v>975</v>
      </c>
      <c r="D516" s="130">
        <v>47</v>
      </c>
      <c r="E516" s="51">
        <v>120</v>
      </c>
      <c r="F516" s="27">
        <v>50</v>
      </c>
      <c r="G516" s="41">
        <f>InventoryList[[#This Row],[NLC (NET LANDING COST]]*InventoryList[[#This Row],[Quantity in stock]]</f>
        <v>2350</v>
      </c>
      <c r="H516" s="62"/>
      <c r="I516" s="22"/>
    </row>
    <row r="517" spans="1:9" ht="30" customHeight="1">
      <c r="A517" s="22">
        <v>475</v>
      </c>
      <c r="B517" s="26" t="s">
        <v>912</v>
      </c>
      <c r="C517" s="26" t="s">
        <v>976</v>
      </c>
      <c r="D517" s="130">
        <v>2560</v>
      </c>
      <c r="E517" s="51">
        <v>2750</v>
      </c>
      <c r="F517" s="27">
        <v>4</v>
      </c>
      <c r="G517" s="41">
        <f>InventoryList[[#This Row],[NLC (NET LANDING COST]]*InventoryList[[#This Row],[Quantity in stock]]</f>
        <v>10240</v>
      </c>
      <c r="H517" s="62"/>
      <c r="I517" s="22"/>
    </row>
    <row r="518" spans="1:9" ht="30" customHeight="1">
      <c r="A518" s="22">
        <v>476</v>
      </c>
      <c r="B518" s="26" t="s">
        <v>913</v>
      </c>
      <c r="C518" s="26" t="s">
        <v>977</v>
      </c>
      <c r="D518" s="130">
        <v>2900</v>
      </c>
      <c r="E518" s="51">
        <v>3200</v>
      </c>
      <c r="F518" s="27">
        <v>2</v>
      </c>
      <c r="G518" s="41">
        <f>InventoryList[[#This Row],[NLC (NET LANDING COST]]*InventoryList[[#This Row],[Quantity in stock]]</f>
        <v>5800</v>
      </c>
      <c r="H518" s="62"/>
      <c r="I518" s="22"/>
    </row>
    <row r="519" spans="1:9" ht="30" customHeight="1">
      <c r="A519" s="22">
        <v>477</v>
      </c>
      <c r="B519" s="26" t="s">
        <v>914</v>
      </c>
      <c r="C519" s="26" t="s">
        <v>978</v>
      </c>
      <c r="D519" s="130">
        <v>6800</v>
      </c>
      <c r="E519" s="51">
        <v>7300</v>
      </c>
      <c r="F519" s="27">
        <v>3</v>
      </c>
      <c r="G519" s="41">
        <f>InventoryList[[#This Row],[NLC (NET LANDING COST]]*InventoryList[[#This Row],[Quantity in stock]]</f>
        <v>20400</v>
      </c>
      <c r="H519" s="62"/>
      <c r="I519" s="22"/>
    </row>
    <row r="520" spans="1:9" ht="30" customHeight="1">
      <c r="A520" s="22">
        <v>478</v>
      </c>
      <c r="B520" s="26" t="s">
        <v>915</v>
      </c>
      <c r="C520" s="26" t="s">
        <v>979</v>
      </c>
      <c r="D520" s="130">
        <v>6700</v>
      </c>
      <c r="E520" s="51">
        <v>7200</v>
      </c>
      <c r="F520" s="27">
        <v>1</v>
      </c>
      <c r="G520" s="41">
        <f>InventoryList[[#This Row],[NLC (NET LANDING COST]]*InventoryList[[#This Row],[Quantity in stock]]</f>
        <v>6700</v>
      </c>
      <c r="H520" s="62"/>
      <c r="I520" s="22"/>
    </row>
    <row r="521" spans="1:9" ht="30" customHeight="1">
      <c r="A521" s="22">
        <v>479</v>
      </c>
      <c r="B521" s="26" t="s">
        <v>916</v>
      </c>
      <c r="C521" s="26" t="s">
        <v>980</v>
      </c>
      <c r="D521" s="130">
        <v>50</v>
      </c>
      <c r="E521" s="51">
        <v>100</v>
      </c>
      <c r="F521" s="27">
        <v>10</v>
      </c>
      <c r="G521" s="41">
        <f>InventoryList[[#This Row],[NLC (NET LANDING COST]]*InventoryList[[#This Row],[Quantity in stock]]</f>
        <v>500</v>
      </c>
      <c r="H521" s="62"/>
      <c r="I521" s="22"/>
    </row>
    <row r="522" spans="1:9" ht="30" customHeight="1">
      <c r="A522" s="22">
        <v>480</v>
      </c>
      <c r="B522" s="26" t="s">
        <v>917</v>
      </c>
      <c r="C522" s="26" t="s">
        <v>981</v>
      </c>
      <c r="D522" s="130">
        <v>27000</v>
      </c>
      <c r="E522" s="51">
        <v>31900</v>
      </c>
      <c r="F522" s="27">
        <v>1</v>
      </c>
      <c r="G522" s="41">
        <f>InventoryList[[#This Row],[NLC (NET LANDING COST]]*InventoryList[[#This Row],[Quantity in stock]]</f>
        <v>27000</v>
      </c>
      <c r="H522" s="62"/>
      <c r="I522" s="22"/>
    </row>
    <row r="523" spans="1:9" ht="30" customHeight="1">
      <c r="A523" s="22">
        <v>481</v>
      </c>
      <c r="B523" s="26" t="s">
        <v>918</v>
      </c>
      <c r="C523" s="26" t="s">
        <v>323</v>
      </c>
      <c r="D523" s="130">
        <v>1600</v>
      </c>
      <c r="E523" s="51">
        <v>0.66666666666666397</v>
      </c>
      <c r="F523" s="27">
        <v>1</v>
      </c>
      <c r="G523" s="41">
        <f>InventoryList[[#This Row],[NLC (NET LANDING COST]]*InventoryList[[#This Row],[Quantity in stock]]</f>
        <v>1600</v>
      </c>
      <c r="H523" s="62"/>
      <c r="I523" s="22"/>
    </row>
    <row r="524" spans="1:9" ht="30" customHeight="1">
      <c r="A524" s="28" t="s">
        <v>51</v>
      </c>
      <c r="B524" s="29" t="s">
        <v>982</v>
      </c>
      <c r="C524" s="29" t="s">
        <v>525</v>
      </c>
      <c r="D524" s="130" t="s">
        <v>120</v>
      </c>
      <c r="E524" s="43"/>
      <c r="F524" s="30" t="s">
        <v>888</v>
      </c>
      <c r="G524" s="54"/>
      <c r="H524" s="67">
        <v>76566</v>
      </c>
      <c r="I524" s="22"/>
    </row>
    <row r="525" spans="1:9" ht="30" customHeight="1">
      <c r="A525" s="22">
        <v>482</v>
      </c>
      <c r="B525" s="26" t="s">
        <v>919</v>
      </c>
      <c r="C525" s="26" t="s">
        <v>998</v>
      </c>
      <c r="D525" s="130">
        <v>90</v>
      </c>
      <c r="E525" s="51">
        <v>150</v>
      </c>
      <c r="F525" s="27">
        <v>3</v>
      </c>
      <c r="G525" s="41">
        <f>InventoryList[[#This Row],[NLC (NET LANDING COST]]*InventoryList[[#This Row],[Quantity in stock]]</f>
        <v>270</v>
      </c>
      <c r="H525" s="62"/>
      <c r="I525" s="22"/>
    </row>
    <row r="526" spans="1:9" ht="30" customHeight="1">
      <c r="A526" s="22">
        <v>483</v>
      </c>
      <c r="B526" s="26" t="s">
        <v>920</v>
      </c>
      <c r="C526" s="26" t="s">
        <v>1155</v>
      </c>
      <c r="D526" s="130">
        <v>80</v>
      </c>
      <c r="E526" s="51">
        <v>120</v>
      </c>
      <c r="F526" s="27">
        <v>3</v>
      </c>
      <c r="G526" s="41">
        <f>InventoryList[[#This Row],[NLC (NET LANDING COST]]*InventoryList[[#This Row],[Quantity in stock]]</f>
        <v>240</v>
      </c>
      <c r="H526" s="62"/>
      <c r="I526" s="22"/>
    </row>
    <row r="527" spans="1:9" ht="30" customHeight="1">
      <c r="A527" s="22">
        <v>484</v>
      </c>
      <c r="B527" s="26" t="s">
        <v>921</v>
      </c>
      <c r="C527" s="26" t="s">
        <v>999</v>
      </c>
      <c r="D527" s="130">
        <v>70</v>
      </c>
      <c r="E527" s="51">
        <v>110</v>
      </c>
      <c r="F527" s="27">
        <v>5</v>
      </c>
      <c r="G527" s="41">
        <f>InventoryList[[#This Row],[NLC (NET LANDING COST]]*InventoryList[[#This Row],[Quantity in stock]]</f>
        <v>350</v>
      </c>
      <c r="H527" s="62"/>
      <c r="I527" s="22"/>
    </row>
    <row r="528" spans="1:9" ht="30" customHeight="1">
      <c r="A528" s="22">
        <v>485</v>
      </c>
      <c r="B528" s="26" t="s">
        <v>922</v>
      </c>
      <c r="C528" s="26" t="s">
        <v>1156</v>
      </c>
      <c r="D528" s="130">
        <v>50</v>
      </c>
      <c r="E528" s="51">
        <v>90</v>
      </c>
      <c r="F528" s="27">
        <v>5</v>
      </c>
      <c r="G528" s="41">
        <f>InventoryList[[#This Row],[NLC (NET LANDING COST]]*InventoryList[[#This Row],[Quantity in stock]]</f>
        <v>250</v>
      </c>
      <c r="H528" s="62"/>
      <c r="I528" s="22"/>
    </row>
    <row r="529" spans="1:9" ht="30" customHeight="1">
      <c r="A529" s="22">
        <v>486</v>
      </c>
      <c r="B529" s="26" t="s">
        <v>923</v>
      </c>
      <c r="C529" s="26" t="s">
        <v>1153</v>
      </c>
      <c r="D529" s="130">
        <v>150</v>
      </c>
      <c r="E529" s="51">
        <v>250</v>
      </c>
      <c r="F529" s="27">
        <v>3</v>
      </c>
      <c r="G529" s="41">
        <f>InventoryList[[#This Row],[NLC (NET LANDING COST]]*InventoryList[[#This Row],[Quantity in stock]]</f>
        <v>450</v>
      </c>
      <c r="H529" s="62"/>
      <c r="I529" s="22"/>
    </row>
    <row r="530" spans="1:9" ht="30" customHeight="1">
      <c r="A530" s="22">
        <v>487</v>
      </c>
      <c r="B530" s="26" t="s">
        <v>924</v>
      </c>
      <c r="C530" s="26" t="s">
        <v>1154</v>
      </c>
      <c r="D530" s="130">
        <v>120</v>
      </c>
      <c r="E530" s="51">
        <v>220</v>
      </c>
      <c r="F530" s="27">
        <v>4</v>
      </c>
      <c r="G530" s="41">
        <f>InventoryList[[#This Row],[NLC (NET LANDING COST]]*InventoryList[[#This Row],[Quantity in stock]]</f>
        <v>480</v>
      </c>
      <c r="H530" s="62"/>
      <c r="I530" s="22"/>
    </row>
    <row r="531" spans="1:9" ht="30" customHeight="1">
      <c r="A531" s="22">
        <v>488</v>
      </c>
      <c r="B531" s="26" t="s">
        <v>925</v>
      </c>
      <c r="C531" s="26" t="s">
        <v>1000</v>
      </c>
      <c r="D531" s="130">
        <v>20</v>
      </c>
      <c r="E531" s="51">
        <v>50</v>
      </c>
      <c r="F531" s="27">
        <v>10</v>
      </c>
      <c r="G531" s="41">
        <f>InventoryList[[#This Row],[NLC (NET LANDING COST]]*InventoryList[[#This Row],[Quantity in stock]]</f>
        <v>200</v>
      </c>
      <c r="H531" s="62"/>
      <c r="I531" s="22"/>
    </row>
    <row r="532" spans="1:9" ht="30" customHeight="1">
      <c r="A532" s="22">
        <v>489</v>
      </c>
      <c r="B532" s="26" t="s">
        <v>926</v>
      </c>
      <c r="C532" s="26" t="s">
        <v>1001</v>
      </c>
      <c r="D532" s="130">
        <v>25</v>
      </c>
      <c r="E532" s="51">
        <v>50</v>
      </c>
      <c r="F532" s="27">
        <v>10</v>
      </c>
      <c r="G532" s="41">
        <f>InventoryList[[#This Row],[NLC (NET LANDING COST]]*InventoryList[[#This Row],[Quantity in stock]]</f>
        <v>250</v>
      </c>
      <c r="H532" s="62"/>
      <c r="I532" s="22"/>
    </row>
    <row r="533" spans="1:9" ht="42.95" customHeight="1">
      <c r="A533" s="22">
        <v>490</v>
      </c>
      <c r="B533" s="26" t="s">
        <v>927</v>
      </c>
      <c r="C533" s="26" t="s">
        <v>1002</v>
      </c>
      <c r="D533" s="130">
        <v>30</v>
      </c>
      <c r="E533" s="51">
        <v>70</v>
      </c>
      <c r="F533" s="27">
        <v>4</v>
      </c>
      <c r="G533" s="41">
        <f>InventoryList[[#This Row],[NLC (NET LANDING COST]]*InventoryList[[#This Row],[Quantity in stock]]</f>
        <v>120</v>
      </c>
      <c r="H533" s="62"/>
      <c r="I533" s="22"/>
    </row>
    <row r="534" spans="1:9" ht="30" customHeight="1">
      <c r="A534" s="22">
        <v>491</v>
      </c>
      <c r="B534" s="26" t="s">
        <v>928</v>
      </c>
      <c r="C534" s="26" t="s">
        <v>1003</v>
      </c>
      <c r="D534" s="130">
        <v>60</v>
      </c>
      <c r="E534" s="51">
        <v>130</v>
      </c>
      <c r="F534" s="27">
        <v>2</v>
      </c>
      <c r="G534" s="41">
        <f>InventoryList[[#This Row],[NLC (NET LANDING COST]]*InventoryList[[#This Row],[Quantity in stock]]</f>
        <v>120</v>
      </c>
      <c r="H534" s="62"/>
      <c r="I534" s="22"/>
    </row>
    <row r="535" spans="1:9" ht="30" customHeight="1">
      <c r="A535" s="22">
        <v>492</v>
      </c>
      <c r="B535" s="26" t="s">
        <v>929</v>
      </c>
      <c r="C535" s="26" t="s">
        <v>1004</v>
      </c>
      <c r="D535" s="130">
        <v>18</v>
      </c>
      <c r="E535" s="51">
        <v>40</v>
      </c>
      <c r="F535" s="27">
        <v>5</v>
      </c>
      <c r="G535" s="41">
        <f>InventoryList[[#This Row],[NLC (NET LANDING COST]]*InventoryList[[#This Row],[Quantity in stock]]</f>
        <v>90</v>
      </c>
      <c r="H535" s="62"/>
      <c r="I535" s="22"/>
    </row>
    <row r="536" spans="1:9" ht="30" customHeight="1">
      <c r="A536" s="22">
        <v>493</v>
      </c>
      <c r="B536" s="26" t="s">
        <v>930</v>
      </c>
      <c r="C536" s="26" t="s">
        <v>1005</v>
      </c>
      <c r="D536" s="130">
        <v>20</v>
      </c>
      <c r="E536" s="51">
        <v>40</v>
      </c>
      <c r="F536" s="27">
        <v>5</v>
      </c>
      <c r="G536" s="41">
        <f>InventoryList[[#This Row],[NLC (NET LANDING COST]]*InventoryList[[#This Row],[Quantity in stock]]</f>
        <v>100</v>
      </c>
      <c r="H536" s="62"/>
      <c r="I536" s="22"/>
    </row>
    <row r="537" spans="1:9" ht="30" customHeight="1">
      <c r="A537" s="22">
        <v>494</v>
      </c>
      <c r="B537" s="26" t="s">
        <v>931</v>
      </c>
      <c r="C537" s="76" t="s">
        <v>1007</v>
      </c>
      <c r="D537" s="130">
        <v>20</v>
      </c>
      <c r="E537" s="51">
        <v>50</v>
      </c>
      <c r="F537" s="27">
        <v>5</v>
      </c>
      <c r="G537" s="41">
        <f>InventoryList[[#This Row],[NLC (NET LANDING COST]]*InventoryList[[#This Row],[Quantity in stock]]</f>
        <v>100</v>
      </c>
      <c r="H537" s="62"/>
      <c r="I537" s="22"/>
    </row>
    <row r="538" spans="1:9" ht="30" customHeight="1">
      <c r="A538" s="22">
        <v>495</v>
      </c>
      <c r="B538" s="26" t="s">
        <v>932</v>
      </c>
      <c r="C538" s="26" t="s">
        <v>1006</v>
      </c>
      <c r="D538" s="130">
        <v>38</v>
      </c>
      <c r="E538" s="51">
        <v>80</v>
      </c>
      <c r="F538" s="27">
        <v>10</v>
      </c>
      <c r="G538" s="41">
        <f>InventoryList[[#This Row],[NLC (NET LANDING COST]]*InventoryList[[#This Row],[Quantity in stock]]</f>
        <v>380</v>
      </c>
      <c r="H538" s="62"/>
      <c r="I538" s="22"/>
    </row>
    <row r="539" spans="1:9" ht="30" customHeight="1">
      <c r="A539" s="22">
        <v>496</v>
      </c>
      <c r="B539" s="26" t="s">
        <v>933</v>
      </c>
      <c r="C539" s="26" t="s">
        <v>1008</v>
      </c>
      <c r="D539" s="130">
        <v>68</v>
      </c>
      <c r="E539" s="51">
        <v>100</v>
      </c>
      <c r="F539" s="27">
        <v>10</v>
      </c>
      <c r="G539" s="41">
        <f>InventoryList[[#This Row],[NLC (NET LANDING COST]]*InventoryList[[#This Row],[Quantity in stock]]</f>
        <v>680</v>
      </c>
      <c r="H539" s="62"/>
      <c r="I539" s="22"/>
    </row>
    <row r="540" spans="1:9" ht="30" customHeight="1">
      <c r="A540" s="22">
        <v>497</v>
      </c>
      <c r="B540" s="26" t="s">
        <v>934</v>
      </c>
      <c r="C540" s="26" t="s">
        <v>1009</v>
      </c>
      <c r="D540" s="130">
        <v>45</v>
      </c>
      <c r="E540" s="51">
        <v>70</v>
      </c>
      <c r="F540" s="27">
        <v>6</v>
      </c>
      <c r="G540" s="41">
        <f>InventoryList[[#This Row],[NLC (NET LANDING COST]]*InventoryList[[#This Row],[Quantity in stock]]</f>
        <v>270</v>
      </c>
      <c r="H540" s="62"/>
      <c r="I540" s="22"/>
    </row>
    <row r="541" spans="1:9" ht="30" customHeight="1">
      <c r="A541" s="22">
        <v>498</v>
      </c>
      <c r="B541" s="26" t="s">
        <v>935</v>
      </c>
      <c r="C541" s="26" t="s">
        <v>1010</v>
      </c>
      <c r="D541" s="130">
        <v>55</v>
      </c>
      <c r="E541" s="51">
        <v>85</v>
      </c>
      <c r="F541" s="27">
        <v>5</v>
      </c>
      <c r="G541" s="41">
        <f>InventoryList[[#This Row],[NLC (NET LANDING COST]]*InventoryList[[#This Row],[Quantity in stock]]</f>
        <v>275</v>
      </c>
      <c r="H541" s="62"/>
      <c r="I541" s="22"/>
    </row>
    <row r="542" spans="1:9" ht="30" customHeight="1">
      <c r="A542" s="22">
        <v>499</v>
      </c>
      <c r="B542" s="26" t="s">
        <v>936</v>
      </c>
      <c r="C542" s="26" t="s">
        <v>1011</v>
      </c>
      <c r="D542" s="130">
        <v>50</v>
      </c>
      <c r="E542" s="51">
        <v>100</v>
      </c>
      <c r="F542" s="27">
        <v>7</v>
      </c>
      <c r="G542" s="41">
        <f>InventoryList[[#This Row],[NLC (NET LANDING COST]]*InventoryList[[#This Row],[Quantity in stock]]</f>
        <v>350</v>
      </c>
      <c r="H542" s="62"/>
      <c r="I542" s="22"/>
    </row>
    <row r="543" spans="1:9" ht="30" customHeight="1">
      <c r="A543" s="22">
        <v>500</v>
      </c>
      <c r="B543" s="26" t="s">
        <v>937</v>
      </c>
      <c r="C543" s="26" t="s">
        <v>1012</v>
      </c>
      <c r="D543" s="130">
        <v>60</v>
      </c>
      <c r="E543" s="51">
        <v>110</v>
      </c>
      <c r="F543" s="27">
        <v>4</v>
      </c>
      <c r="G543" s="41">
        <f>InventoryList[[#This Row],[NLC (NET LANDING COST]]*InventoryList[[#This Row],[Quantity in stock]]</f>
        <v>240</v>
      </c>
      <c r="H543" s="62"/>
      <c r="I543" s="22"/>
    </row>
    <row r="544" spans="1:9" ht="39" customHeight="1">
      <c r="A544" s="22">
        <v>501</v>
      </c>
      <c r="B544" s="26" t="s">
        <v>938</v>
      </c>
      <c r="C544" s="26" t="s">
        <v>1013</v>
      </c>
      <c r="D544" s="130">
        <v>70</v>
      </c>
      <c r="E544" s="51">
        <v>120</v>
      </c>
      <c r="F544" s="27">
        <v>4</v>
      </c>
      <c r="G544" s="41">
        <f>InventoryList[[#This Row],[NLC (NET LANDING COST]]*InventoryList[[#This Row],[Quantity in stock]]</f>
        <v>280</v>
      </c>
      <c r="H544" s="62"/>
      <c r="I544" s="22"/>
    </row>
    <row r="545" spans="1:9" ht="30" customHeight="1">
      <c r="A545" s="22">
        <v>502</v>
      </c>
      <c r="B545" s="26" t="s">
        <v>939</v>
      </c>
      <c r="C545" s="26" t="s">
        <v>1014</v>
      </c>
      <c r="D545" s="130">
        <v>70</v>
      </c>
      <c r="E545" s="51">
        <v>130</v>
      </c>
      <c r="F545" s="27">
        <v>6</v>
      </c>
      <c r="G545" s="41">
        <f>InventoryList[[#This Row],[NLC (NET LANDING COST]]*InventoryList[[#This Row],[Quantity in stock]]</f>
        <v>420</v>
      </c>
      <c r="H545" s="62"/>
      <c r="I545" s="22"/>
    </row>
    <row r="546" spans="1:9" ht="30" customHeight="1">
      <c r="A546" s="22">
        <v>503</v>
      </c>
      <c r="B546" s="26" t="s">
        <v>940</v>
      </c>
      <c r="C546" s="26" t="s">
        <v>1015</v>
      </c>
      <c r="D546" s="130">
        <v>80</v>
      </c>
      <c r="E546" s="51">
        <v>150</v>
      </c>
      <c r="F546" s="27">
        <v>4</v>
      </c>
      <c r="G546" s="41">
        <f>InventoryList[[#This Row],[NLC (NET LANDING COST]]*InventoryList[[#This Row],[Quantity in stock]]</f>
        <v>320</v>
      </c>
      <c r="H546" s="62"/>
      <c r="I546" s="22"/>
    </row>
    <row r="547" spans="1:9" ht="30" customHeight="1">
      <c r="A547" s="22">
        <v>504</v>
      </c>
      <c r="B547" s="26" t="s">
        <v>941</v>
      </c>
      <c r="C547" s="26" t="s">
        <v>1016</v>
      </c>
      <c r="D547" s="130">
        <v>60</v>
      </c>
      <c r="E547" s="51">
        <v>90</v>
      </c>
      <c r="F547" s="27">
        <v>3</v>
      </c>
      <c r="G547" s="41">
        <f>InventoryList[[#This Row],[NLC (NET LANDING COST]]*InventoryList[[#This Row],[Quantity in stock]]</f>
        <v>180</v>
      </c>
      <c r="H547" s="62"/>
      <c r="I547" s="22"/>
    </row>
    <row r="548" spans="1:9" ht="30" customHeight="1">
      <c r="A548" s="22">
        <v>505</v>
      </c>
      <c r="B548" s="26" t="s">
        <v>942</v>
      </c>
      <c r="C548" s="26" t="s">
        <v>1017</v>
      </c>
      <c r="D548" s="130">
        <v>90</v>
      </c>
      <c r="E548" s="51">
        <v>140</v>
      </c>
      <c r="F548" s="27">
        <v>3</v>
      </c>
      <c r="G548" s="41">
        <f>InventoryList[[#This Row],[NLC (NET LANDING COST]]*InventoryList[[#This Row],[Quantity in stock]]</f>
        <v>270</v>
      </c>
      <c r="H548" s="62"/>
      <c r="I548" s="22"/>
    </row>
    <row r="549" spans="1:9" ht="30" customHeight="1">
      <c r="A549" s="22">
        <v>506</v>
      </c>
      <c r="B549" s="26" t="s">
        <v>1224</v>
      </c>
      <c r="C549" s="26" t="s">
        <v>1158</v>
      </c>
      <c r="D549" s="133">
        <v>9</v>
      </c>
      <c r="E549" s="77">
        <v>20</v>
      </c>
      <c r="F549" s="41">
        <v>70</v>
      </c>
      <c r="G549" s="41">
        <f>InventoryList[[#This Row],[NLC (NET LANDING COST]]*InventoryList[[#This Row],[Quantity in stock]]</f>
        <v>630</v>
      </c>
      <c r="H549" s="62"/>
      <c r="I549" s="22"/>
    </row>
    <row r="550" spans="1:9" ht="30" customHeight="1">
      <c r="A550" s="22">
        <v>507</v>
      </c>
      <c r="B550" s="26" t="s">
        <v>943</v>
      </c>
      <c r="C550" s="26" t="s">
        <v>1607</v>
      </c>
      <c r="D550" s="130">
        <v>70</v>
      </c>
      <c r="E550" s="51">
        <v>110</v>
      </c>
      <c r="F550" s="27">
        <v>5</v>
      </c>
      <c r="G550" s="41">
        <f>InventoryList[[#This Row],[NLC (NET LANDING COST]]*InventoryList[[#This Row],[Quantity in stock]]</f>
        <v>350</v>
      </c>
      <c r="H550" s="62"/>
      <c r="I550" s="22"/>
    </row>
    <row r="551" spans="1:9" ht="30" customHeight="1">
      <c r="A551" s="22">
        <v>508</v>
      </c>
      <c r="B551" s="26" t="s">
        <v>944</v>
      </c>
      <c r="C551" s="26" t="s">
        <v>1018</v>
      </c>
      <c r="D551" s="130">
        <v>45</v>
      </c>
      <c r="E551" s="51">
        <v>0.66666666666666197</v>
      </c>
      <c r="F551" s="27">
        <v>1</v>
      </c>
      <c r="G551" s="41">
        <f>InventoryList[[#This Row],[NLC (NET LANDING COST]]*InventoryList[[#This Row],[Quantity in stock]]</f>
        <v>45</v>
      </c>
      <c r="H551" s="62"/>
      <c r="I551" s="22"/>
    </row>
    <row r="552" spans="1:9" ht="30" customHeight="1">
      <c r="A552" s="28" t="s">
        <v>51</v>
      </c>
      <c r="B552" s="29" t="s">
        <v>1150</v>
      </c>
      <c r="C552" s="29"/>
      <c r="D552" s="130" t="s">
        <v>120</v>
      </c>
      <c r="E552" s="43"/>
      <c r="F552" s="30">
        <v>7420</v>
      </c>
      <c r="G552" s="67">
        <v>0</v>
      </c>
      <c r="H552" s="59"/>
      <c r="I552" s="22"/>
    </row>
    <row r="553" spans="1:9" ht="30" customHeight="1">
      <c r="A553" s="22">
        <v>509</v>
      </c>
      <c r="B553" s="26" t="s">
        <v>945</v>
      </c>
      <c r="C553" s="26" t="s">
        <v>1131</v>
      </c>
      <c r="D553" s="130">
        <v>16</v>
      </c>
      <c r="E553" s="51">
        <v>30</v>
      </c>
      <c r="F553" s="27">
        <v>50</v>
      </c>
      <c r="G553" s="41">
        <f>InventoryList[[#This Row],[NLC (NET LANDING COST]]*InventoryList[[#This Row],[Quantity in stock]]</f>
        <v>800</v>
      </c>
      <c r="H553" s="62"/>
      <c r="I553" s="22"/>
    </row>
    <row r="554" spans="1:9" ht="30" customHeight="1">
      <c r="A554" s="22">
        <v>510</v>
      </c>
      <c r="B554" s="26" t="s">
        <v>946</v>
      </c>
      <c r="C554" s="26" t="s">
        <v>1132</v>
      </c>
      <c r="D554" s="130">
        <v>22</v>
      </c>
      <c r="E554" s="51">
        <v>35</v>
      </c>
      <c r="F554" s="27">
        <v>50</v>
      </c>
      <c r="G554" s="41">
        <f>InventoryList[[#This Row],[NLC (NET LANDING COST]]*InventoryList[[#This Row],[Quantity in stock]]</f>
        <v>1100</v>
      </c>
      <c r="H554" s="62"/>
      <c r="I554" s="22"/>
    </row>
    <row r="555" spans="1:9" ht="54" customHeight="1">
      <c r="A555" s="22">
        <v>511</v>
      </c>
      <c r="B555" s="26" t="s">
        <v>947</v>
      </c>
      <c r="C555" s="26" t="s">
        <v>1133</v>
      </c>
      <c r="D555" s="130">
        <v>200</v>
      </c>
      <c r="E555" s="51">
        <v>350</v>
      </c>
      <c r="F555" s="27">
        <v>1</v>
      </c>
      <c r="G555" s="41">
        <f>InventoryList[[#This Row],[NLC (NET LANDING COST]]*InventoryList[[#This Row],[Quantity in stock]]</f>
        <v>200</v>
      </c>
      <c r="H555" s="62"/>
      <c r="I555" s="22"/>
    </row>
    <row r="556" spans="1:9" ht="30" customHeight="1">
      <c r="A556" s="22">
        <v>512</v>
      </c>
      <c r="B556" s="26" t="s">
        <v>1019</v>
      </c>
      <c r="C556" s="26" t="s">
        <v>1134</v>
      </c>
      <c r="D556" s="130">
        <v>265</v>
      </c>
      <c r="E556" s="51">
        <v>330</v>
      </c>
      <c r="F556" s="27">
        <v>100</v>
      </c>
      <c r="G556" s="41">
        <f>InventoryList[[#This Row],[NLC (NET LANDING COST]]*InventoryList[[#This Row],[Quantity in stock]]</f>
        <v>26500</v>
      </c>
      <c r="H556" s="62"/>
      <c r="I556" s="22"/>
    </row>
    <row r="557" spans="1:9" ht="30" customHeight="1">
      <c r="A557" s="22">
        <v>513</v>
      </c>
      <c r="B557" s="26" t="s">
        <v>1020</v>
      </c>
      <c r="C557" s="26" t="s">
        <v>1135</v>
      </c>
      <c r="D557" s="130">
        <v>3200</v>
      </c>
      <c r="E557" s="51">
        <v>3500</v>
      </c>
      <c r="F557" s="27">
        <v>2</v>
      </c>
      <c r="G557" s="41">
        <f>InventoryList[[#This Row],[NLC (NET LANDING COST]]*InventoryList[[#This Row],[Quantity in stock]]</f>
        <v>6400</v>
      </c>
      <c r="H557" s="62"/>
      <c r="I557" s="22"/>
    </row>
    <row r="558" spans="1:9" ht="30" customHeight="1">
      <c r="A558" s="28" t="s">
        <v>51</v>
      </c>
      <c r="B558" s="29" t="s">
        <v>1151</v>
      </c>
      <c r="C558" s="29"/>
      <c r="D558" s="130" t="s">
        <v>120</v>
      </c>
      <c r="E558" s="43"/>
      <c r="F558" s="30">
        <v>35000</v>
      </c>
      <c r="G558" s="67">
        <v>0</v>
      </c>
      <c r="H558" s="59"/>
      <c r="I558" s="22"/>
    </row>
    <row r="559" spans="1:9" ht="30" customHeight="1">
      <c r="A559" s="22">
        <v>514</v>
      </c>
      <c r="B559" s="26" t="s">
        <v>1021</v>
      </c>
      <c r="C559" s="26" t="s">
        <v>1152</v>
      </c>
      <c r="D559" s="130">
        <v>130000</v>
      </c>
      <c r="E559" s="51">
        <v>0.66666666666666197</v>
      </c>
      <c r="F559" s="27">
        <v>1</v>
      </c>
      <c r="G559" s="41">
        <f>InventoryList[[#This Row],[NLC (NET LANDING COST]]*InventoryList[[#This Row],[Quantity in stock]]</f>
        <v>130000</v>
      </c>
      <c r="H559" s="62"/>
      <c r="I559" s="22"/>
    </row>
    <row r="560" spans="1:9" ht="30" customHeight="1">
      <c r="A560" s="22">
        <v>515</v>
      </c>
      <c r="B560" s="26" t="s">
        <v>1022</v>
      </c>
      <c r="C560" s="79" t="s">
        <v>1223</v>
      </c>
      <c r="D560" s="130">
        <v>312</v>
      </c>
      <c r="E560" s="51">
        <v>350</v>
      </c>
      <c r="F560" s="27">
        <v>2</v>
      </c>
      <c r="G560" s="41">
        <f>InventoryList[[#This Row],[NLC (NET LANDING COST]]*InventoryList[[#This Row],[Quantity in stock]]</f>
        <v>624</v>
      </c>
      <c r="H560" s="62"/>
      <c r="I560" s="22"/>
    </row>
    <row r="561" spans="1:9" ht="30" customHeight="1">
      <c r="A561" s="22">
        <v>516</v>
      </c>
      <c r="B561" s="26" t="s">
        <v>1023</v>
      </c>
      <c r="C561" s="26" t="s">
        <v>1159</v>
      </c>
      <c r="D561" s="130">
        <v>125</v>
      </c>
      <c r="E561" s="51">
        <v>180</v>
      </c>
      <c r="F561" s="27">
        <v>11</v>
      </c>
      <c r="G561" s="41">
        <f>InventoryList[[#This Row],[NLC (NET LANDING COST]]*InventoryList[[#This Row],[Quantity in stock]]</f>
        <v>1375</v>
      </c>
      <c r="H561" s="62"/>
      <c r="I561" s="22"/>
    </row>
    <row r="562" spans="1:9" ht="30" customHeight="1">
      <c r="A562" s="22">
        <v>517</v>
      </c>
      <c r="B562" s="26" t="s">
        <v>1024</v>
      </c>
      <c r="C562" s="26" t="s">
        <v>1160</v>
      </c>
      <c r="D562" s="130">
        <v>380</v>
      </c>
      <c r="E562" s="51">
        <v>480</v>
      </c>
      <c r="F562" s="27">
        <v>4</v>
      </c>
      <c r="G562" s="41">
        <f>InventoryList[[#This Row],[NLC (NET LANDING COST]]*InventoryList[[#This Row],[Quantity in stock]]</f>
        <v>1520</v>
      </c>
      <c r="H562" s="62"/>
      <c r="I562" s="22"/>
    </row>
    <row r="563" spans="1:9" ht="30" customHeight="1">
      <c r="A563" s="22">
        <v>518</v>
      </c>
      <c r="B563" s="26" t="s">
        <v>1025</v>
      </c>
      <c r="C563" s="26" t="s">
        <v>1162</v>
      </c>
      <c r="D563" s="130">
        <v>40</v>
      </c>
      <c r="E563" s="51">
        <v>80</v>
      </c>
      <c r="F563" s="27">
        <v>5</v>
      </c>
      <c r="G563" s="41">
        <f>InventoryList[[#This Row],[NLC (NET LANDING COST]]*InventoryList[[#This Row],[Quantity in stock]]</f>
        <v>200</v>
      </c>
      <c r="H563" s="62"/>
      <c r="I563" s="22"/>
    </row>
    <row r="564" spans="1:9" ht="30" customHeight="1">
      <c r="A564" s="22">
        <v>519</v>
      </c>
      <c r="B564" s="26" t="s">
        <v>1026</v>
      </c>
      <c r="C564" s="26" t="s">
        <v>1163</v>
      </c>
      <c r="D564" s="130">
        <v>90</v>
      </c>
      <c r="E564" s="51">
        <v>0.66666666666666197</v>
      </c>
      <c r="F564" s="27">
        <v>5</v>
      </c>
      <c r="G564" s="41">
        <f>InventoryList[[#This Row],[NLC (NET LANDING COST]]*InventoryList[[#This Row],[Quantity in stock]]</f>
        <v>450</v>
      </c>
      <c r="H564" s="62"/>
      <c r="I564" s="22"/>
    </row>
    <row r="565" spans="1:9" ht="30" customHeight="1">
      <c r="A565" s="22">
        <v>520</v>
      </c>
      <c r="B565" s="26" t="s">
        <v>1027</v>
      </c>
      <c r="C565" s="26" t="s">
        <v>1161</v>
      </c>
      <c r="D565" s="130">
        <v>180</v>
      </c>
      <c r="E565" s="51">
        <v>0.66666666666666197</v>
      </c>
      <c r="F565" s="27">
        <v>1</v>
      </c>
      <c r="G565" s="41">
        <f>InventoryList[[#This Row],[NLC (NET LANDING COST]]*InventoryList[[#This Row],[Quantity in stock]]</f>
        <v>180</v>
      </c>
      <c r="H565" s="62"/>
      <c r="I565" s="22"/>
    </row>
    <row r="566" spans="1:9" ht="30" customHeight="1">
      <c r="A566" s="22">
        <v>521</v>
      </c>
      <c r="B566" s="26" t="s">
        <v>1028</v>
      </c>
      <c r="C566" s="26" t="s">
        <v>1164</v>
      </c>
      <c r="D566" s="130">
        <v>60</v>
      </c>
      <c r="E566" s="51">
        <v>0.66666666666666197</v>
      </c>
      <c r="F566" s="27">
        <v>2</v>
      </c>
      <c r="G566" s="41">
        <f>InventoryList[[#This Row],[NLC (NET LANDING COST]]*InventoryList[[#This Row],[Quantity in stock]]</f>
        <v>120</v>
      </c>
      <c r="H566" s="62"/>
      <c r="I566" s="22"/>
    </row>
    <row r="567" spans="1:9" ht="30" customHeight="1">
      <c r="A567" s="22">
        <v>522</v>
      </c>
      <c r="B567" s="26" t="s">
        <v>1029</v>
      </c>
      <c r="C567" s="79" t="s">
        <v>1165</v>
      </c>
      <c r="D567" s="130">
        <v>1150</v>
      </c>
      <c r="E567" s="51">
        <v>1700</v>
      </c>
      <c r="F567" s="27">
        <v>5</v>
      </c>
      <c r="G567" s="41">
        <f>InventoryList[[#This Row],[NLC (NET LANDING COST]]*InventoryList[[#This Row],[Quantity in stock]]</f>
        <v>5750</v>
      </c>
      <c r="H567" s="62"/>
      <c r="I567" s="22"/>
    </row>
    <row r="568" spans="1:9" ht="30" customHeight="1">
      <c r="A568" s="22">
        <v>523</v>
      </c>
      <c r="B568" s="26" t="s">
        <v>1030</v>
      </c>
      <c r="C568" s="26" t="s">
        <v>1166</v>
      </c>
      <c r="D568" s="130">
        <v>30</v>
      </c>
      <c r="E568" s="51">
        <v>80</v>
      </c>
      <c r="F568" s="27">
        <v>15</v>
      </c>
      <c r="G568" s="41">
        <f>InventoryList[[#This Row],[NLC (NET LANDING COST]]*InventoryList[[#This Row],[Quantity in stock]]</f>
        <v>450</v>
      </c>
      <c r="H568" s="62"/>
      <c r="I568" s="22"/>
    </row>
    <row r="569" spans="1:9" ht="30" customHeight="1">
      <c r="A569" s="22">
        <v>524</v>
      </c>
      <c r="B569" s="26" t="s">
        <v>1031</v>
      </c>
      <c r="C569" s="26" t="s">
        <v>1167</v>
      </c>
      <c r="D569" s="130">
        <v>110</v>
      </c>
      <c r="E569" s="51">
        <v>220</v>
      </c>
      <c r="F569" s="27">
        <v>10</v>
      </c>
      <c r="G569" s="41">
        <f>InventoryList[[#This Row],[NLC (NET LANDING COST]]*InventoryList[[#This Row],[Quantity in stock]]</f>
        <v>1100</v>
      </c>
      <c r="H569" s="62"/>
      <c r="I569" s="22"/>
    </row>
    <row r="570" spans="1:9" ht="30" customHeight="1">
      <c r="A570" s="22">
        <v>525</v>
      </c>
      <c r="B570" s="26" t="s">
        <v>1032</v>
      </c>
      <c r="C570" s="26" t="s">
        <v>1168</v>
      </c>
      <c r="D570" s="130">
        <v>750</v>
      </c>
      <c r="E570" s="51">
        <v>950</v>
      </c>
      <c r="F570" s="27">
        <v>2</v>
      </c>
      <c r="G570" s="41">
        <f>InventoryList[[#This Row],[NLC (NET LANDING COST]]*InventoryList[[#This Row],[Quantity in stock]]</f>
        <v>1500</v>
      </c>
      <c r="H570" s="62"/>
      <c r="I570" s="22"/>
    </row>
    <row r="571" spans="1:9" ht="30" customHeight="1">
      <c r="A571" s="22">
        <v>526</v>
      </c>
      <c r="B571" s="26" t="s">
        <v>1033</v>
      </c>
      <c r="C571" s="26" t="s">
        <v>1169</v>
      </c>
      <c r="D571" s="130">
        <v>155</v>
      </c>
      <c r="E571" s="51">
        <v>250</v>
      </c>
      <c r="F571" s="27">
        <v>10</v>
      </c>
      <c r="G571" s="41">
        <f>InventoryList[[#This Row],[NLC (NET LANDING COST]]*InventoryList[[#This Row],[Quantity in stock]]</f>
        <v>1550</v>
      </c>
      <c r="H571" s="62"/>
      <c r="I571" s="22"/>
    </row>
    <row r="572" spans="1:9" ht="30" customHeight="1">
      <c r="A572" s="22">
        <v>527</v>
      </c>
      <c r="B572" s="26" t="s">
        <v>1034</v>
      </c>
      <c r="C572" s="26" t="s">
        <v>1170</v>
      </c>
      <c r="D572" s="130">
        <v>185</v>
      </c>
      <c r="E572" s="51">
        <v>300</v>
      </c>
      <c r="F572" s="27">
        <v>10</v>
      </c>
      <c r="G572" s="41">
        <f>InventoryList[[#This Row],[NLC (NET LANDING COST]]*InventoryList[[#This Row],[Quantity in stock]]</f>
        <v>1850</v>
      </c>
      <c r="H572" s="62"/>
      <c r="I572" s="22"/>
    </row>
    <row r="573" spans="1:9" ht="30" customHeight="1">
      <c r="A573" s="22">
        <v>528</v>
      </c>
      <c r="B573" s="26" t="s">
        <v>1035</v>
      </c>
      <c r="C573" s="26" t="s">
        <v>339</v>
      </c>
      <c r="D573" s="130">
        <v>22</v>
      </c>
      <c r="E573" s="51">
        <v>30</v>
      </c>
      <c r="F573" s="27">
        <v>50</v>
      </c>
      <c r="G573" s="41">
        <f>InventoryList[[#This Row],[NLC (NET LANDING COST]]*InventoryList[[#This Row],[Quantity in stock]]</f>
        <v>1100</v>
      </c>
      <c r="H573" s="62"/>
      <c r="I573" s="22"/>
    </row>
    <row r="574" spans="1:9" ht="30" customHeight="1">
      <c r="A574" s="22">
        <v>529</v>
      </c>
      <c r="B574" s="26" t="s">
        <v>1036</v>
      </c>
      <c r="C574" s="26" t="s">
        <v>1171</v>
      </c>
      <c r="D574" s="130">
        <v>260</v>
      </c>
      <c r="E574" s="51">
        <v>380</v>
      </c>
      <c r="F574" s="27">
        <v>10</v>
      </c>
      <c r="G574" s="41">
        <f>InventoryList[[#This Row],[NLC (NET LANDING COST]]*InventoryList[[#This Row],[Quantity in stock]]</f>
        <v>2600</v>
      </c>
      <c r="H574" s="62"/>
      <c r="I574" s="22"/>
    </row>
    <row r="575" spans="1:9" ht="30" customHeight="1">
      <c r="A575" s="22">
        <v>530</v>
      </c>
      <c r="B575" s="26" t="s">
        <v>1037</v>
      </c>
      <c r="C575" s="26" t="s">
        <v>1172</v>
      </c>
      <c r="D575" s="130">
        <v>110</v>
      </c>
      <c r="E575" s="51">
        <v>180</v>
      </c>
      <c r="F575" s="27">
        <v>10</v>
      </c>
      <c r="G575" s="41">
        <f>InventoryList[[#This Row],[NLC (NET LANDING COST]]*InventoryList[[#This Row],[Quantity in stock]]</f>
        <v>1100</v>
      </c>
      <c r="H575" s="62"/>
      <c r="I575" s="22"/>
    </row>
    <row r="576" spans="1:9" ht="30" customHeight="1">
      <c r="A576" s="22">
        <v>531</v>
      </c>
      <c r="B576" s="26" t="s">
        <v>1038</v>
      </c>
      <c r="C576" s="26" t="s">
        <v>1173</v>
      </c>
      <c r="D576" s="130">
        <v>110</v>
      </c>
      <c r="E576" s="51">
        <v>180</v>
      </c>
      <c r="F576" s="27">
        <v>10</v>
      </c>
      <c r="G576" s="41">
        <f>InventoryList[[#This Row],[NLC (NET LANDING COST]]*InventoryList[[#This Row],[Quantity in stock]]</f>
        <v>1100</v>
      </c>
      <c r="H576" s="62"/>
      <c r="I576" s="22"/>
    </row>
    <row r="577" spans="1:9" ht="30" customHeight="1">
      <c r="A577" s="22">
        <v>532</v>
      </c>
      <c r="B577" s="26" t="s">
        <v>1039</v>
      </c>
      <c r="C577" s="79" t="s">
        <v>1174</v>
      </c>
      <c r="D577" s="130">
        <v>520</v>
      </c>
      <c r="E577" s="51">
        <v>700</v>
      </c>
      <c r="F577" s="27">
        <v>4</v>
      </c>
      <c r="G577" s="41">
        <f>InventoryList[[#This Row],[NLC (NET LANDING COST]]*InventoryList[[#This Row],[Quantity in stock]]</f>
        <v>2080</v>
      </c>
      <c r="H577" s="62"/>
      <c r="I577" s="22"/>
    </row>
    <row r="578" spans="1:9" ht="30" customHeight="1">
      <c r="A578" s="22">
        <v>533</v>
      </c>
      <c r="B578" s="26" t="s">
        <v>1040</v>
      </c>
      <c r="C578" s="79" t="s">
        <v>1175</v>
      </c>
      <c r="D578" s="130">
        <v>620</v>
      </c>
      <c r="E578" s="51">
        <v>750</v>
      </c>
      <c r="F578" s="27">
        <v>10</v>
      </c>
      <c r="G578" s="41">
        <f>InventoryList[[#This Row],[NLC (NET LANDING COST]]*InventoryList[[#This Row],[Quantity in stock]]</f>
        <v>6200</v>
      </c>
      <c r="H578" s="62"/>
      <c r="I578" s="22"/>
    </row>
    <row r="579" spans="1:9" ht="30" customHeight="1">
      <c r="A579" s="22">
        <v>534</v>
      </c>
      <c r="B579" s="26" t="s">
        <v>1041</v>
      </c>
      <c r="C579" s="26" t="s">
        <v>600</v>
      </c>
      <c r="D579" s="130">
        <v>1100</v>
      </c>
      <c r="E579" s="51">
        <v>30</v>
      </c>
      <c r="F579" s="27" t="s">
        <v>1176</v>
      </c>
      <c r="G579" s="41">
        <v>1100</v>
      </c>
      <c r="H579" s="62"/>
      <c r="I579" s="22"/>
    </row>
    <row r="580" spans="1:9" ht="30" customHeight="1">
      <c r="A580" s="22">
        <v>535</v>
      </c>
      <c r="B580" s="26" t="s">
        <v>1042</v>
      </c>
      <c r="C580" s="26" t="s">
        <v>1177</v>
      </c>
      <c r="D580" s="130">
        <v>270</v>
      </c>
      <c r="E580" s="51">
        <v>450</v>
      </c>
      <c r="F580" s="27">
        <v>5</v>
      </c>
      <c r="G580" s="41">
        <f>InventoryList[[#This Row],[NLC (NET LANDING COST]]*InventoryList[[#This Row],[Quantity in stock]]</f>
        <v>1350</v>
      </c>
      <c r="H580" s="62"/>
      <c r="I580" s="22"/>
    </row>
    <row r="581" spans="1:9" ht="30" customHeight="1">
      <c r="A581" s="22">
        <v>536</v>
      </c>
      <c r="B581" s="26" t="s">
        <v>1043</v>
      </c>
      <c r="C581" s="26" t="s">
        <v>1178</v>
      </c>
      <c r="D581" s="130">
        <v>270</v>
      </c>
      <c r="E581" s="51">
        <v>450</v>
      </c>
      <c r="F581" s="27">
        <v>5</v>
      </c>
      <c r="G581" s="41">
        <f>InventoryList[[#This Row],[NLC (NET LANDING COST]]*InventoryList[[#This Row],[Quantity in stock]]</f>
        <v>1350</v>
      </c>
      <c r="H581" s="62"/>
      <c r="I581" s="22"/>
    </row>
    <row r="582" spans="1:9" ht="30" customHeight="1">
      <c r="A582" s="22">
        <v>537</v>
      </c>
      <c r="B582" s="26" t="s">
        <v>1044</v>
      </c>
      <c r="C582" s="26" t="s">
        <v>1179</v>
      </c>
      <c r="D582" s="130">
        <v>150</v>
      </c>
      <c r="E582" s="51">
        <v>250</v>
      </c>
      <c r="F582" s="27">
        <v>5</v>
      </c>
      <c r="G582" s="41">
        <f>InventoryList[[#This Row],[NLC (NET LANDING COST]]*InventoryList[[#This Row],[Quantity in stock]]</f>
        <v>750</v>
      </c>
      <c r="H582" s="62"/>
      <c r="I582" s="22"/>
    </row>
    <row r="583" spans="1:9" ht="30" customHeight="1">
      <c r="A583" s="22">
        <v>538</v>
      </c>
      <c r="B583" s="26" t="s">
        <v>1045</v>
      </c>
      <c r="C583" s="26" t="s">
        <v>1180</v>
      </c>
      <c r="D583" s="130">
        <v>650</v>
      </c>
      <c r="E583" s="51">
        <v>2300</v>
      </c>
      <c r="F583" s="27">
        <v>3</v>
      </c>
      <c r="G583" s="41">
        <f>InventoryList[[#This Row],[NLC (NET LANDING COST]]*InventoryList[[#This Row],[Quantity in stock]]</f>
        <v>1950</v>
      </c>
      <c r="H583" s="62"/>
      <c r="I583" s="22"/>
    </row>
    <row r="584" spans="1:9" ht="30" customHeight="1">
      <c r="A584" s="22">
        <v>539</v>
      </c>
      <c r="B584" s="26" t="s">
        <v>1046</v>
      </c>
      <c r="C584" s="79" t="s">
        <v>1222</v>
      </c>
      <c r="D584" s="130">
        <v>140</v>
      </c>
      <c r="E584" s="51">
        <v>200</v>
      </c>
      <c r="F584" s="27">
        <v>20</v>
      </c>
      <c r="G584" s="41">
        <f>InventoryList[[#This Row],[NLC (NET LANDING COST]]*InventoryList[[#This Row],[Quantity in stock]]</f>
        <v>2800</v>
      </c>
      <c r="H584" s="62"/>
      <c r="I584" s="22"/>
    </row>
    <row r="585" spans="1:9" ht="30" customHeight="1">
      <c r="A585" s="22">
        <v>540</v>
      </c>
      <c r="B585" s="26" t="s">
        <v>1047</v>
      </c>
      <c r="C585" s="26" t="s">
        <v>1181</v>
      </c>
      <c r="D585" s="130">
        <v>110</v>
      </c>
      <c r="E585" s="51">
        <v>250</v>
      </c>
      <c r="F585" s="27">
        <v>5</v>
      </c>
      <c r="G585" s="41">
        <f>InventoryList[[#This Row],[NLC (NET LANDING COST]]*InventoryList[[#This Row],[Quantity in stock]]</f>
        <v>550</v>
      </c>
      <c r="H585" s="62"/>
      <c r="I585" s="22"/>
    </row>
    <row r="586" spans="1:9" ht="30" customHeight="1">
      <c r="A586" s="22">
        <v>541</v>
      </c>
      <c r="B586" s="26" t="s">
        <v>1048</v>
      </c>
      <c r="C586" s="26" t="s">
        <v>1182</v>
      </c>
      <c r="D586" s="130">
        <v>110</v>
      </c>
      <c r="E586" s="51">
        <v>250</v>
      </c>
      <c r="F586" s="27">
        <v>5</v>
      </c>
      <c r="G586" s="41">
        <f>InventoryList[[#This Row],[NLC (NET LANDING COST]]*InventoryList[[#This Row],[Quantity in stock]]</f>
        <v>550</v>
      </c>
      <c r="H586" s="62"/>
      <c r="I586" s="22"/>
    </row>
    <row r="587" spans="1:9" ht="30" customHeight="1">
      <c r="A587" s="22">
        <v>542</v>
      </c>
      <c r="B587" s="26" t="s">
        <v>1049</v>
      </c>
      <c r="C587" s="26" t="s">
        <v>1183</v>
      </c>
      <c r="D587" s="130">
        <v>350</v>
      </c>
      <c r="E587" s="51">
        <v>500</v>
      </c>
      <c r="F587" s="27">
        <v>10</v>
      </c>
      <c r="G587" s="41">
        <f>InventoryList[[#This Row],[NLC (NET LANDING COST]]*InventoryList[[#This Row],[Quantity in stock]]</f>
        <v>3500</v>
      </c>
      <c r="H587" s="62"/>
      <c r="I587" s="22"/>
    </row>
    <row r="588" spans="1:9" ht="30" customHeight="1">
      <c r="A588" s="28" t="s">
        <v>51</v>
      </c>
      <c r="B588" s="29" t="s">
        <v>1184</v>
      </c>
      <c r="C588" s="29" t="s">
        <v>525</v>
      </c>
      <c r="D588" s="130" t="s">
        <v>120</v>
      </c>
      <c r="E588" s="43"/>
      <c r="F588" s="30" t="s">
        <v>1185</v>
      </c>
      <c r="G588" s="97"/>
      <c r="H588" s="67" t="s">
        <v>1186</v>
      </c>
      <c r="I588" s="22"/>
    </row>
    <row r="589" spans="1:9" ht="30" customHeight="1">
      <c r="A589" s="22">
        <v>544</v>
      </c>
      <c r="B589" s="26" t="s">
        <v>1050</v>
      </c>
      <c r="C589" s="26" t="s">
        <v>1187</v>
      </c>
      <c r="D589" s="130">
        <v>9.5</v>
      </c>
      <c r="E589" s="51">
        <v>25</v>
      </c>
      <c r="F589" s="27">
        <v>48</v>
      </c>
      <c r="G589" s="41">
        <f>InventoryList[[#This Row],[NLC (NET LANDING COST]]*InventoryList[[#This Row],[Quantity in stock]]</f>
        <v>456</v>
      </c>
      <c r="H589" s="62"/>
      <c r="I589" s="22"/>
    </row>
    <row r="590" spans="1:9" ht="30" customHeight="1">
      <c r="A590" s="22">
        <v>545</v>
      </c>
      <c r="B590" s="26" t="s">
        <v>1051</v>
      </c>
      <c r="C590" s="26" t="s">
        <v>1188</v>
      </c>
      <c r="D590" s="130">
        <v>7</v>
      </c>
      <c r="E590" s="51">
        <v>15</v>
      </c>
      <c r="F590" s="27">
        <v>90</v>
      </c>
      <c r="G590" s="41">
        <f>InventoryList[[#This Row],[NLC (NET LANDING COST]]*InventoryList[[#This Row],[Quantity in stock]]</f>
        <v>630</v>
      </c>
      <c r="H590" s="62"/>
      <c r="I590" s="22"/>
    </row>
    <row r="591" spans="1:9" ht="30" customHeight="1">
      <c r="A591" s="22">
        <v>546</v>
      </c>
      <c r="B591" s="26" t="s">
        <v>1052</v>
      </c>
      <c r="C591" s="26" t="s">
        <v>1189</v>
      </c>
      <c r="D591" s="130">
        <v>8.5</v>
      </c>
      <c r="E591" s="51">
        <v>20</v>
      </c>
      <c r="F591" s="27">
        <v>20</v>
      </c>
      <c r="G591" s="41">
        <f>InventoryList[[#This Row],[NLC (NET LANDING COST]]*InventoryList[[#This Row],[Quantity in stock]]</f>
        <v>170</v>
      </c>
      <c r="H591" s="62"/>
      <c r="I591" s="22"/>
    </row>
    <row r="592" spans="1:9" ht="30" customHeight="1">
      <c r="A592" s="22">
        <v>547</v>
      </c>
      <c r="B592" s="26" t="s">
        <v>1053</v>
      </c>
      <c r="C592" s="26" t="s">
        <v>1190</v>
      </c>
      <c r="D592" s="130">
        <v>620</v>
      </c>
      <c r="E592" s="51">
        <v>800</v>
      </c>
      <c r="F592" s="27" t="s">
        <v>1191</v>
      </c>
      <c r="G592" s="41">
        <v>37200</v>
      </c>
      <c r="H592" s="62"/>
      <c r="I592" s="22"/>
    </row>
    <row r="593" spans="1:9" ht="30" customHeight="1">
      <c r="A593" s="22">
        <v>548</v>
      </c>
      <c r="B593" s="26" t="s">
        <v>1054</v>
      </c>
      <c r="C593" s="26" t="s">
        <v>1197</v>
      </c>
      <c r="D593" s="130">
        <v>650</v>
      </c>
      <c r="E593" s="51">
        <v>850</v>
      </c>
      <c r="F593" s="27" t="s">
        <v>1198</v>
      </c>
      <c r="G593" s="41">
        <v>26300</v>
      </c>
      <c r="H593" s="62"/>
      <c r="I593" s="22"/>
    </row>
    <row r="594" spans="1:9" ht="30" customHeight="1">
      <c r="A594" s="22">
        <v>549</v>
      </c>
      <c r="B594" s="26" t="s">
        <v>1199</v>
      </c>
      <c r="C594" s="79" t="s">
        <v>1200</v>
      </c>
      <c r="D594" s="130">
        <v>154</v>
      </c>
      <c r="E594" s="51">
        <v>210</v>
      </c>
      <c r="F594" s="27">
        <v>94</v>
      </c>
      <c r="G594" s="41">
        <f>InventoryList[[#This Row],[NLC (NET LANDING COST]]*InventoryList[[#This Row],[Quantity in stock]]</f>
        <v>14476</v>
      </c>
      <c r="H594" s="62"/>
      <c r="I594" s="22"/>
    </row>
    <row r="595" spans="1:9" ht="30" customHeight="1">
      <c r="A595" s="22">
        <v>550</v>
      </c>
      <c r="B595" s="26" t="s">
        <v>1201</v>
      </c>
      <c r="C595" s="79" t="s">
        <v>1202</v>
      </c>
      <c r="D595" s="130">
        <v>2400</v>
      </c>
      <c r="E595" s="51">
        <v>2650</v>
      </c>
      <c r="F595" s="27">
        <v>10</v>
      </c>
      <c r="G595" s="41">
        <f>InventoryList[[#This Row],[NLC (NET LANDING COST]]*InventoryList[[#This Row],[Quantity in stock]]</f>
        <v>24000</v>
      </c>
      <c r="H595" s="62"/>
      <c r="I595" s="22"/>
    </row>
    <row r="596" spans="1:9" ht="30" customHeight="1">
      <c r="A596" s="22">
        <v>551</v>
      </c>
      <c r="B596" s="26" t="s">
        <v>1201</v>
      </c>
      <c r="C596" s="79" t="s">
        <v>1203</v>
      </c>
      <c r="D596" s="130">
        <v>2537</v>
      </c>
      <c r="E596" s="51">
        <v>2900</v>
      </c>
      <c r="F596" s="27">
        <v>10</v>
      </c>
      <c r="G596" s="41">
        <f>InventoryList[[#This Row],[NLC (NET LANDING COST]]*InventoryList[[#This Row],[Quantity in stock]]</f>
        <v>25370</v>
      </c>
      <c r="H596" s="62"/>
      <c r="I596" s="22"/>
    </row>
    <row r="597" spans="1:9" ht="30" customHeight="1">
      <c r="A597" s="22">
        <v>552</v>
      </c>
      <c r="B597" s="26" t="s">
        <v>1204</v>
      </c>
      <c r="C597" s="80" t="s">
        <v>1205</v>
      </c>
      <c r="D597" s="130">
        <v>29000</v>
      </c>
      <c r="E597" s="51">
        <v>32500</v>
      </c>
      <c r="F597" s="27">
        <v>3</v>
      </c>
      <c r="G597" s="41">
        <f>InventoryList[[#This Row],[NLC (NET LANDING COST]]*InventoryList[[#This Row],[Quantity in stock]]</f>
        <v>87000</v>
      </c>
      <c r="H597" s="62"/>
      <c r="I597" s="22"/>
    </row>
    <row r="598" spans="1:9" ht="30" customHeight="1">
      <c r="A598" s="28" t="s">
        <v>51</v>
      </c>
      <c r="B598" s="29" t="s">
        <v>815</v>
      </c>
      <c r="C598" s="29" t="s">
        <v>1206</v>
      </c>
      <c r="D598" s="130" t="s">
        <v>120</v>
      </c>
      <c r="E598" s="43"/>
      <c r="F598" s="30">
        <v>0</v>
      </c>
      <c r="G598" s="97"/>
      <c r="H598" s="67">
        <v>215602</v>
      </c>
      <c r="I598" s="22"/>
    </row>
    <row r="599" spans="1:9" ht="30" customHeight="1">
      <c r="A599" s="22">
        <v>553</v>
      </c>
      <c r="B599" s="26" t="s">
        <v>1055</v>
      </c>
      <c r="C599" s="79" t="s">
        <v>1207</v>
      </c>
      <c r="D599" s="130">
        <v>120</v>
      </c>
      <c r="E599" s="51">
        <v>170</v>
      </c>
      <c r="F599" s="27">
        <v>16</v>
      </c>
      <c r="G599" s="41">
        <f>InventoryList[[#This Row],[NLC (NET LANDING COST]]*InventoryList[[#This Row],[Quantity in stock]]</f>
        <v>1920</v>
      </c>
      <c r="H599" s="62"/>
      <c r="I599" s="22"/>
    </row>
    <row r="600" spans="1:9" ht="30" customHeight="1">
      <c r="A600" s="22">
        <v>554</v>
      </c>
      <c r="B600" s="26" t="s">
        <v>1056</v>
      </c>
      <c r="C600" s="26" t="s">
        <v>1208</v>
      </c>
      <c r="D600" s="130">
        <v>25</v>
      </c>
      <c r="E600" s="51">
        <v>70</v>
      </c>
      <c r="F600" s="27">
        <v>20</v>
      </c>
      <c r="G600" s="41">
        <f>InventoryList[[#This Row],[NLC (NET LANDING COST]]*InventoryList[[#This Row],[Quantity in stock]]</f>
        <v>500</v>
      </c>
      <c r="H600" s="62"/>
      <c r="I600" s="22"/>
    </row>
    <row r="601" spans="1:9" ht="30" customHeight="1">
      <c r="A601" s="22">
        <v>555</v>
      </c>
      <c r="B601" s="26" t="s">
        <v>1057</v>
      </c>
      <c r="C601" s="26" t="s">
        <v>1209</v>
      </c>
      <c r="D601" s="130">
        <v>120</v>
      </c>
      <c r="E601" s="51">
        <v>200</v>
      </c>
      <c r="F601" s="27">
        <v>10</v>
      </c>
      <c r="G601" s="41">
        <f>InventoryList[[#This Row],[NLC (NET LANDING COST]]*InventoryList[[#This Row],[Quantity in stock]]</f>
        <v>1200</v>
      </c>
      <c r="H601" s="62"/>
      <c r="I601" s="22"/>
    </row>
    <row r="602" spans="1:9" ht="30" customHeight="1">
      <c r="A602" s="22">
        <v>556</v>
      </c>
      <c r="B602" s="26" t="s">
        <v>1058</v>
      </c>
      <c r="C602" s="79" t="s">
        <v>1221</v>
      </c>
      <c r="D602" s="130">
        <v>110</v>
      </c>
      <c r="E602" s="51">
        <v>300</v>
      </c>
      <c r="F602" s="27">
        <v>10</v>
      </c>
      <c r="G602" s="41">
        <f>InventoryList[[#This Row],[NLC (NET LANDING COST]]*InventoryList[[#This Row],[Quantity in stock]]</f>
        <v>1100</v>
      </c>
      <c r="H602" s="62"/>
      <c r="I602" s="22"/>
    </row>
    <row r="603" spans="1:9" ht="30" customHeight="1">
      <c r="A603" s="22">
        <v>557</v>
      </c>
      <c r="B603" s="26" t="s">
        <v>1059</v>
      </c>
      <c r="C603" s="79" t="s">
        <v>1210</v>
      </c>
      <c r="D603" s="130">
        <v>900</v>
      </c>
      <c r="E603" s="51">
        <v>1500</v>
      </c>
      <c r="F603" s="27">
        <v>4</v>
      </c>
      <c r="G603" s="41">
        <f>InventoryList[[#This Row],[NLC (NET LANDING COST]]*InventoryList[[#This Row],[Quantity in stock]]</f>
        <v>3600</v>
      </c>
      <c r="H603" s="62"/>
      <c r="I603" s="22"/>
    </row>
    <row r="604" spans="1:9" ht="30" customHeight="1">
      <c r="A604" s="22">
        <v>558</v>
      </c>
      <c r="B604" s="26" t="s">
        <v>1060</v>
      </c>
      <c r="C604" s="26" t="s">
        <v>1211</v>
      </c>
      <c r="D604" s="130">
        <v>220</v>
      </c>
      <c r="E604" s="51">
        <v>500</v>
      </c>
      <c r="F604" s="27">
        <v>18</v>
      </c>
      <c r="G604" s="41">
        <f>InventoryList[[#This Row],[NLC (NET LANDING COST]]*InventoryList[[#This Row],[Quantity in stock]]</f>
        <v>3960</v>
      </c>
      <c r="H604" s="62"/>
      <c r="I604" s="22"/>
    </row>
    <row r="605" spans="1:9" ht="30" customHeight="1">
      <c r="A605" s="22">
        <v>559</v>
      </c>
      <c r="B605" s="26" t="s">
        <v>1061</v>
      </c>
      <c r="C605" s="26" t="s">
        <v>1212</v>
      </c>
      <c r="D605" s="130">
        <v>380</v>
      </c>
      <c r="E605" s="51">
        <v>550</v>
      </c>
      <c r="F605" s="27">
        <v>5</v>
      </c>
      <c r="G605" s="41">
        <f>InventoryList[[#This Row],[NLC (NET LANDING COST]]*InventoryList[[#This Row],[Quantity in stock]]</f>
        <v>1900</v>
      </c>
      <c r="H605" s="62"/>
      <c r="I605" s="22"/>
    </row>
    <row r="606" spans="1:9" ht="30" customHeight="1">
      <c r="A606" s="22">
        <v>560</v>
      </c>
      <c r="B606" s="26" t="s">
        <v>1062</v>
      </c>
      <c r="C606" s="26" t="s">
        <v>1214</v>
      </c>
      <c r="D606" s="130">
        <v>90</v>
      </c>
      <c r="E606" s="51">
        <v>200</v>
      </c>
      <c r="F606" s="27">
        <v>10</v>
      </c>
      <c r="G606" s="41">
        <f>InventoryList[[#This Row],[NLC (NET LANDING COST]]*InventoryList[[#This Row],[Quantity in stock]]</f>
        <v>900</v>
      </c>
      <c r="H606" s="62"/>
      <c r="I606" s="22"/>
    </row>
    <row r="607" spans="1:9" ht="30" customHeight="1">
      <c r="A607" s="22">
        <v>561</v>
      </c>
      <c r="B607" s="26" t="s">
        <v>1063</v>
      </c>
      <c r="C607" s="26" t="s">
        <v>1213</v>
      </c>
      <c r="D607" s="130">
        <v>100</v>
      </c>
      <c r="E607" s="51">
        <v>250</v>
      </c>
      <c r="F607" s="27">
        <v>3</v>
      </c>
      <c r="G607" s="41">
        <f>InventoryList[[#This Row],[NLC (NET LANDING COST]]*InventoryList[[#This Row],[Quantity in stock]]</f>
        <v>300</v>
      </c>
      <c r="H607" s="62"/>
      <c r="I607" s="22"/>
    </row>
    <row r="608" spans="1:9" ht="30" customHeight="1">
      <c r="A608" s="22">
        <v>562</v>
      </c>
      <c r="B608" s="26" t="s">
        <v>1064</v>
      </c>
      <c r="C608" s="26" t="s">
        <v>1215</v>
      </c>
      <c r="D608" s="130">
        <v>80</v>
      </c>
      <c r="E608" s="51">
        <v>200</v>
      </c>
      <c r="F608" s="27">
        <v>5</v>
      </c>
      <c r="G608" s="41">
        <f>InventoryList[[#This Row],[NLC (NET LANDING COST]]*InventoryList[[#This Row],[Quantity in stock]]</f>
        <v>400</v>
      </c>
      <c r="H608" s="62"/>
      <c r="I608" s="22"/>
    </row>
    <row r="609" spans="1:9" ht="30" customHeight="1">
      <c r="A609" s="22">
        <v>563</v>
      </c>
      <c r="B609" s="26" t="s">
        <v>1065</v>
      </c>
      <c r="C609" s="79" t="s">
        <v>1219</v>
      </c>
      <c r="D609" s="130">
        <v>1650</v>
      </c>
      <c r="E609" s="51">
        <v>2050</v>
      </c>
      <c r="F609" s="27">
        <v>2</v>
      </c>
      <c r="G609" s="41">
        <f>InventoryList[[#This Row],[NLC (NET LANDING COST]]*InventoryList[[#This Row],[Quantity in stock]]</f>
        <v>3300</v>
      </c>
      <c r="H609" s="62"/>
      <c r="I609" s="22"/>
    </row>
    <row r="610" spans="1:9" ht="30" customHeight="1">
      <c r="A610" s="22">
        <v>564</v>
      </c>
      <c r="B610" s="26" t="s">
        <v>1066</v>
      </c>
      <c r="C610" s="79" t="s">
        <v>1218</v>
      </c>
      <c r="D610" s="130">
        <v>1750</v>
      </c>
      <c r="E610" s="51">
        <v>2100</v>
      </c>
      <c r="F610" s="27">
        <v>1</v>
      </c>
      <c r="G610" s="41">
        <f>InventoryList[[#This Row],[NLC (NET LANDING COST]]*InventoryList[[#This Row],[Quantity in stock]]</f>
        <v>1750</v>
      </c>
      <c r="H610" s="62"/>
      <c r="I610" s="22"/>
    </row>
    <row r="611" spans="1:9" ht="30" customHeight="1">
      <c r="A611" s="22">
        <v>565</v>
      </c>
      <c r="B611" s="26" t="s">
        <v>1067</v>
      </c>
      <c r="C611" s="79" t="s">
        <v>1220</v>
      </c>
      <c r="D611" s="130">
        <v>950</v>
      </c>
      <c r="E611" s="51">
        <v>1700</v>
      </c>
      <c r="F611" s="27">
        <v>5</v>
      </c>
      <c r="G611" s="41">
        <f>InventoryList[[#This Row],[NLC (NET LANDING COST]]*InventoryList[[#This Row],[Quantity in stock]]</f>
        <v>4750</v>
      </c>
      <c r="H611" s="62"/>
      <c r="I611" s="22"/>
    </row>
    <row r="612" spans="1:9" ht="30" customHeight="1">
      <c r="A612" s="22">
        <v>566</v>
      </c>
      <c r="B612" s="26" t="s">
        <v>1068</v>
      </c>
      <c r="C612" s="26" t="s">
        <v>1217</v>
      </c>
      <c r="D612" s="130">
        <v>50</v>
      </c>
      <c r="E612" s="51">
        <v>200</v>
      </c>
      <c r="F612" s="27">
        <v>20</v>
      </c>
      <c r="G612" s="41">
        <f>InventoryList[[#This Row],[NLC (NET LANDING COST]]*InventoryList[[#This Row],[Quantity in stock]]</f>
        <v>1000</v>
      </c>
      <c r="H612" s="62"/>
      <c r="I612" s="22"/>
    </row>
    <row r="613" spans="1:9" ht="30" customHeight="1">
      <c r="A613" s="22">
        <v>567</v>
      </c>
      <c r="B613" s="26" t="s">
        <v>1069</v>
      </c>
      <c r="C613" s="79" t="s">
        <v>1216</v>
      </c>
      <c r="D613" s="130">
        <v>110</v>
      </c>
      <c r="E613" s="51">
        <v>350</v>
      </c>
      <c r="F613" s="27">
        <v>10</v>
      </c>
      <c r="G613" s="41">
        <f>InventoryList[[#This Row],[NLC (NET LANDING COST]]*InventoryList[[#This Row],[Quantity in stock]]</f>
        <v>1100</v>
      </c>
      <c r="H613" s="62"/>
      <c r="I613" s="22"/>
    </row>
    <row r="614" spans="1:9" ht="30" customHeight="1">
      <c r="A614" s="22"/>
      <c r="B614" s="26"/>
      <c r="C614" s="26" t="s">
        <v>323</v>
      </c>
      <c r="D614" s="130">
        <v>400</v>
      </c>
      <c r="E614" s="78"/>
      <c r="F614" s="27">
        <v>1</v>
      </c>
      <c r="G614" s="41">
        <f>InventoryList[[#This Row],[NLC (NET LANDING COST]]*InventoryList[[#This Row],[Quantity in stock]]</f>
        <v>400</v>
      </c>
      <c r="H614" s="62"/>
      <c r="I614" s="22"/>
    </row>
    <row r="615" spans="1:9" ht="30" customHeight="1">
      <c r="A615" s="28" t="s">
        <v>51</v>
      </c>
      <c r="B615" s="29">
        <v>7110</v>
      </c>
      <c r="C615" s="29" t="s">
        <v>525</v>
      </c>
      <c r="D615" s="130" t="s">
        <v>120</v>
      </c>
      <c r="E615" s="43"/>
      <c r="F615" s="40">
        <v>400</v>
      </c>
      <c r="G615" s="97"/>
      <c r="H615" s="67">
        <v>28030</v>
      </c>
      <c r="I615" s="22"/>
    </row>
    <row r="616" spans="1:9" ht="30" customHeight="1">
      <c r="A616" s="22">
        <v>568</v>
      </c>
      <c r="B616" s="26" t="s">
        <v>1070</v>
      </c>
      <c r="C616" s="26" t="s">
        <v>1239</v>
      </c>
      <c r="D616" s="130">
        <v>450</v>
      </c>
      <c r="E616" s="51">
        <v>600</v>
      </c>
      <c r="F616" s="27">
        <v>5</v>
      </c>
      <c r="G616" s="41">
        <f>InventoryList[[#This Row],[NLC (NET LANDING COST]]*InventoryList[[#This Row],[Quantity in stock]]</f>
        <v>2250</v>
      </c>
      <c r="H616" s="62"/>
      <c r="I616" s="22"/>
    </row>
    <row r="617" spans="1:9" ht="30" customHeight="1">
      <c r="A617" s="22">
        <v>569</v>
      </c>
      <c r="B617" s="26" t="s">
        <v>1071</v>
      </c>
      <c r="C617" s="26" t="s">
        <v>1240</v>
      </c>
      <c r="D617" s="130">
        <v>120</v>
      </c>
      <c r="E617" s="51">
        <v>250</v>
      </c>
      <c r="F617" s="27">
        <v>10</v>
      </c>
      <c r="G617" s="41">
        <f>InventoryList[[#This Row],[NLC (NET LANDING COST]]*InventoryList[[#This Row],[Quantity in stock]]</f>
        <v>1200</v>
      </c>
      <c r="H617" s="62"/>
      <c r="I617" s="22"/>
    </row>
    <row r="618" spans="1:9" ht="30" customHeight="1">
      <c r="A618" s="22">
        <v>570</v>
      </c>
      <c r="B618" s="26" t="s">
        <v>1072</v>
      </c>
      <c r="C618" s="26" t="s">
        <v>1241</v>
      </c>
      <c r="D618" s="130">
        <v>225</v>
      </c>
      <c r="E618" s="51">
        <v>330</v>
      </c>
      <c r="F618" s="27">
        <v>20</v>
      </c>
      <c r="G618" s="41">
        <f>InventoryList[[#This Row],[NLC (NET LANDING COST]]*InventoryList[[#This Row],[Quantity in stock]]</f>
        <v>4500</v>
      </c>
      <c r="H618" s="62"/>
      <c r="I618" s="22"/>
    </row>
    <row r="619" spans="1:9" ht="30" customHeight="1">
      <c r="A619" s="22">
        <v>571</v>
      </c>
      <c r="B619" s="26" t="s">
        <v>1073</v>
      </c>
      <c r="C619" s="26" t="s">
        <v>1242</v>
      </c>
      <c r="D619" s="130">
        <v>210</v>
      </c>
      <c r="E619" s="51">
        <v>300</v>
      </c>
      <c r="F619" s="27">
        <v>5</v>
      </c>
      <c r="G619" s="41">
        <f>InventoryList[[#This Row],[NLC (NET LANDING COST]]*InventoryList[[#This Row],[Quantity in stock]]</f>
        <v>1050</v>
      </c>
      <c r="H619" s="62"/>
      <c r="I619" s="22"/>
    </row>
    <row r="620" spans="1:9" ht="30" customHeight="1">
      <c r="A620" s="22">
        <v>572</v>
      </c>
      <c r="B620" s="26" t="s">
        <v>1074</v>
      </c>
      <c r="C620" s="26" t="s">
        <v>1277</v>
      </c>
      <c r="D620" s="130">
        <v>13</v>
      </c>
      <c r="E620" s="51">
        <v>50</v>
      </c>
      <c r="F620" s="27">
        <v>102</v>
      </c>
      <c r="G620" s="41">
        <f>InventoryList[[#This Row],[NLC (NET LANDING COST]]*InventoryList[[#This Row],[Quantity in stock]]</f>
        <v>1326</v>
      </c>
      <c r="H620" s="62"/>
      <c r="I620" s="22"/>
    </row>
    <row r="621" spans="1:9" ht="30" customHeight="1">
      <c r="A621" s="22">
        <v>573</v>
      </c>
      <c r="B621" s="26" t="s">
        <v>1075</v>
      </c>
      <c r="C621" s="26" t="s">
        <v>1243</v>
      </c>
      <c r="D621" s="130">
        <v>140</v>
      </c>
      <c r="E621" s="51">
        <v>250</v>
      </c>
      <c r="F621" s="27">
        <v>10</v>
      </c>
      <c r="G621" s="41">
        <f>InventoryList[[#This Row],[NLC (NET LANDING COST]]*InventoryList[[#This Row],[Quantity in stock]]</f>
        <v>1400</v>
      </c>
      <c r="H621" s="62"/>
      <c r="I621" s="22"/>
    </row>
    <row r="622" spans="1:9" s="91" customFormat="1" ht="30" customHeight="1">
      <c r="A622" s="86">
        <v>574</v>
      </c>
      <c r="B622" s="80" t="s">
        <v>1076</v>
      </c>
      <c r="C622" s="80" t="s">
        <v>1244</v>
      </c>
      <c r="D622" s="134">
        <v>1450</v>
      </c>
      <c r="E622" s="87">
        <v>1750</v>
      </c>
      <c r="F622" s="88">
        <v>10</v>
      </c>
      <c r="G622" s="89">
        <f>InventoryList[[#This Row],[NLC (NET LANDING COST]]*InventoryList[[#This Row],[Quantity in stock]]</f>
        <v>14500</v>
      </c>
      <c r="H622" s="90"/>
      <c r="I622" s="86"/>
    </row>
    <row r="623" spans="1:9" ht="30" customHeight="1">
      <c r="A623" s="22">
        <v>575</v>
      </c>
      <c r="B623" s="26" t="s">
        <v>1077</v>
      </c>
      <c r="C623" s="26" t="s">
        <v>1245</v>
      </c>
      <c r="D623" s="130">
        <v>530</v>
      </c>
      <c r="E623" s="51">
        <v>800</v>
      </c>
      <c r="F623" s="27">
        <v>5</v>
      </c>
      <c r="G623" s="41">
        <f>InventoryList[[#This Row],[NLC (NET LANDING COST]]*InventoryList[[#This Row],[Quantity in stock]]</f>
        <v>2650</v>
      </c>
      <c r="H623" s="62"/>
      <c r="I623" s="22"/>
    </row>
    <row r="624" spans="1:9" ht="30" customHeight="1">
      <c r="A624" s="22">
        <v>576</v>
      </c>
      <c r="B624" s="26" t="s">
        <v>1078</v>
      </c>
      <c r="C624" s="26" t="s">
        <v>1246</v>
      </c>
      <c r="D624" s="130">
        <v>140</v>
      </c>
      <c r="E624" s="51">
        <v>250</v>
      </c>
      <c r="F624" s="27">
        <v>5</v>
      </c>
      <c r="G624" s="41">
        <f>InventoryList[[#This Row],[NLC (NET LANDING COST]]*InventoryList[[#This Row],[Quantity in stock]]</f>
        <v>700</v>
      </c>
      <c r="H624" s="62"/>
      <c r="I624" s="22"/>
    </row>
    <row r="625" spans="1:9" ht="30" customHeight="1">
      <c r="A625" s="22">
        <v>577</v>
      </c>
      <c r="B625" s="26" t="s">
        <v>1079</v>
      </c>
      <c r="C625" s="26" t="s">
        <v>1247</v>
      </c>
      <c r="D625" s="130">
        <v>160</v>
      </c>
      <c r="E625" s="51">
        <v>250</v>
      </c>
      <c r="F625" s="27">
        <v>5</v>
      </c>
      <c r="G625" s="41">
        <f>InventoryList[[#This Row],[NLC (NET LANDING COST]]*InventoryList[[#This Row],[Quantity in stock]]</f>
        <v>800</v>
      </c>
      <c r="H625" s="62"/>
      <c r="I625" s="22"/>
    </row>
    <row r="626" spans="1:9" s="91" customFormat="1" ht="30" customHeight="1">
      <c r="A626" s="86">
        <v>578</v>
      </c>
      <c r="B626" s="80" t="s">
        <v>1080</v>
      </c>
      <c r="C626" s="80" t="s">
        <v>1248</v>
      </c>
      <c r="D626" s="134">
        <v>65</v>
      </c>
      <c r="E626" s="87">
        <v>110</v>
      </c>
      <c r="F626" s="88">
        <v>50</v>
      </c>
      <c r="G626" s="89">
        <f>InventoryList[[#This Row],[NLC (NET LANDING COST]]*InventoryList[[#This Row],[Quantity in stock]]</f>
        <v>3250</v>
      </c>
      <c r="H626" s="90"/>
      <c r="I626" s="86"/>
    </row>
    <row r="627" spans="1:9" ht="30" customHeight="1">
      <c r="A627" s="22">
        <v>579</v>
      </c>
      <c r="B627" s="79" t="s">
        <v>1081</v>
      </c>
      <c r="C627" s="79" t="s">
        <v>1249</v>
      </c>
      <c r="D627" s="134">
        <v>45</v>
      </c>
      <c r="E627" s="81">
        <v>90</v>
      </c>
      <c r="F627" s="82">
        <v>50</v>
      </c>
      <c r="G627" s="83">
        <f>InventoryList[[#This Row],[NLC (NET LANDING COST]]*InventoryList[[#This Row],[Quantity in stock]]</f>
        <v>2250</v>
      </c>
      <c r="H627" s="84"/>
      <c r="I627" s="85"/>
    </row>
    <row r="628" spans="1:9" ht="30" customHeight="1">
      <c r="A628" s="22">
        <v>580</v>
      </c>
      <c r="B628" s="26" t="s">
        <v>1082</v>
      </c>
      <c r="C628" s="26" t="s">
        <v>1250</v>
      </c>
      <c r="D628" s="130">
        <v>100</v>
      </c>
      <c r="E628" s="51">
        <v>250</v>
      </c>
      <c r="F628" s="27">
        <v>20</v>
      </c>
      <c r="G628" s="41">
        <f>InventoryList[[#This Row],[NLC (NET LANDING COST]]*InventoryList[[#This Row],[Quantity in stock]]</f>
        <v>2000</v>
      </c>
      <c r="H628" s="62"/>
      <c r="I628" s="22"/>
    </row>
    <row r="629" spans="1:9" s="96" customFormat="1" ht="30" customHeight="1">
      <c r="A629" s="92">
        <v>581</v>
      </c>
      <c r="B629" s="93" t="s">
        <v>1083</v>
      </c>
      <c r="C629" s="93" t="s">
        <v>969</v>
      </c>
      <c r="D629" s="130">
        <v>90</v>
      </c>
      <c r="E629" s="74">
        <v>120</v>
      </c>
      <c r="F629" s="94">
        <v>20</v>
      </c>
      <c r="G629" s="74">
        <f>InventoryList[[#This Row],[NLC (NET LANDING COST]]*InventoryList[[#This Row],[Quantity in stock]]</f>
        <v>1800</v>
      </c>
      <c r="H629" s="95"/>
      <c r="I629" s="92"/>
    </row>
    <row r="630" spans="1:9" s="96" customFormat="1" ht="30" customHeight="1">
      <c r="A630" s="28" t="s">
        <v>51</v>
      </c>
      <c r="B630" s="29">
        <v>1737</v>
      </c>
      <c r="C630" s="29" t="s">
        <v>525</v>
      </c>
      <c r="D630" s="130" t="s">
        <v>120</v>
      </c>
      <c r="E630" s="43"/>
      <c r="F630" s="30">
        <v>600</v>
      </c>
      <c r="G630" s="97"/>
      <c r="H630" s="67">
        <v>38026</v>
      </c>
      <c r="I630" s="92"/>
    </row>
    <row r="631" spans="1:9" s="91" customFormat="1" ht="30" customHeight="1">
      <c r="A631" s="86">
        <v>582</v>
      </c>
      <c r="B631" s="80" t="s">
        <v>1084</v>
      </c>
      <c r="C631" s="80" t="s">
        <v>1252</v>
      </c>
      <c r="D631" s="134">
        <v>814</v>
      </c>
      <c r="E631" s="87">
        <v>1150</v>
      </c>
      <c r="F631" s="88">
        <v>12</v>
      </c>
      <c r="G631" s="89">
        <f>InventoryList[[#This Row],[NLC (NET LANDING COST]]*InventoryList[[#This Row],[Quantity in stock]]</f>
        <v>9768</v>
      </c>
      <c r="H631" s="90"/>
      <c r="I631" s="86"/>
    </row>
    <row r="632" spans="1:9" ht="30" customHeight="1">
      <c r="A632" s="22">
        <v>583</v>
      </c>
      <c r="B632" s="26" t="s">
        <v>1085</v>
      </c>
      <c r="C632" s="26" t="s">
        <v>1253</v>
      </c>
      <c r="D632" s="130">
        <v>30</v>
      </c>
      <c r="E632" s="51">
        <v>80</v>
      </c>
      <c r="F632" s="27">
        <v>20</v>
      </c>
      <c r="G632" s="41">
        <f>InventoryList[[#This Row],[NLC (NET LANDING COST]]*InventoryList[[#This Row],[Quantity in stock]]</f>
        <v>600</v>
      </c>
      <c r="H632" s="62"/>
      <c r="I632" s="22"/>
    </row>
    <row r="633" spans="1:9" ht="30" customHeight="1">
      <c r="A633" s="22">
        <v>584</v>
      </c>
      <c r="B633" s="26" t="s">
        <v>1086</v>
      </c>
      <c r="C633" s="79" t="s">
        <v>1254</v>
      </c>
      <c r="D633" s="134">
        <v>110</v>
      </c>
      <c r="E633" s="81">
        <v>170</v>
      </c>
      <c r="F633" s="82">
        <v>10</v>
      </c>
      <c r="G633" s="83">
        <f>InventoryList[[#This Row],[NLC (NET LANDING COST]]*InventoryList[[#This Row],[Quantity in stock]]</f>
        <v>1100</v>
      </c>
      <c r="H633" s="62"/>
      <c r="I633" s="22"/>
    </row>
    <row r="634" spans="1:9" ht="30" customHeight="1">
      <c r="A634" s="22">
        <v>585</v>
      </c>
      <c r="B634" s="26" t="s">
        <v>1087</v>
      </c>
      <c r="C634" s="79" t="s">
        <v>1255</v>
      </c>
      <c r="D634" s="134">
        <v>325</v>
      </c>
      <c r="E634" s="81">
        <v>550</v>
      </c>
      <c r="F634" s="82">
        <v>10</v>
      </c>
      <c r="G634" s="83">
        <f>InventoryList[[#This Row],[NLC (NET LANDING COST]]*InventoryList[[#This Row],[Quantity in stock]]</f>
        <v>3250</v>
      </c>
      <c r="H634" s="62"/>
      <c r="I634" s="22"/>
    </row>
    <row r="635" spans="1:9" ht="30" customHeight="1">
      <c r="A635" s="22">
        <v>586</v>
      </c>
      <c r="B635" s="26" t="s">
        <v>1088</v>
      </c>
      <c r="C635" s="26" t="s">
        <v>1256</v>
      </c>
      <c r="D635" s="130">
        <v>660</v>
      </c>
      <c r="E635" s="51">
        <v>850</v>
      </c>
      <c r="F635" s="27">
        <v>12</v>
      </c>
      <c r="G635" s="41">
        <f>InventoryList[[#This Row],[NLC (NET LANDING COST]]*InventoryList[[#This Row],[Quantity in stock]]</f>
        <v>7920</v>
      </c>
      <c r="H635" s="62"/>
      <c r="I635" s="22"/>
    </row>
    <row r="636" spans="1:9" ht="30" customHeight="1">
      <c r="A636" s="22">
        <v>587</v>
      </c>
      <c r="B636" s="26" t="s">
        <v>1089</v>
      </c>
      <c r="C636" s="29" t="s">
        <v>1257</v>
      </c>
      <c r="D636" s="130">
        <v>180</v>
      </c>
      <c r="E636" s="51">
        <v>250</v>
      </c>
      <c r="F636" s="27">
        <v>10</v>
      </c>
      <c r="G636" s="41">
        <f>InventoryList[[#This Row],[NLC (NET LANDING COST]]*InventoryList[[#This Row],[Quantity in stock]]</f>
        <v>1800</v>
      </c>
      <c r="H636" s="62"/>
      <c r="I636" s="22"/>
    </row>
    <row r="637" spans="1:9" ht="30" customHeight="1">
      <c r="A637" s="28" t="s">
        <v>51</v>
      </c>
      <c r="B637" s="29">
        <v>1737</v>
      </c>
      <c r="C637" s="29" t="s">
        <v>525</v>
      </c>
      <c r="D637" s="130" t="s">
        <v>120</v>
      </c>
      <c r="E637" s="43"/>
      <c r="F637" s="30">
        <v>500</v>
      </c>
      <c r="G637" s="97"/>
      <c r="H637" s="67">
        <v>13370</v>
      </c>
      <c r="I637" s="22"/>
    </row>
    <row r="638" spans="1:9" s="91" customFormat="1" ht="30" customHeight="1">
      <c r="A638" s="86">
        <v>559</v>
      </c>
      <c r="B638" s="80" t="s">
        <v>1258</v>
      </c>
      <c r="C638" s="80" t="s">
        <v>1259</v>
      </c>
      <c r="D638" s="134">
        <v>25500</v>
      </c>
      <c r="E638" s="87">
        <v>29000</v>
      </c>
      <c r="F638" s="88">
        <v>1</v>
      </c>
      <c r="G638" s="89">
        <f>InventoryList[[#This Row],[NLC (NET LANDING COST]]*InventoryList[[#This Row],[Quantity in stock]]</f>
        <v>25500</v>
      </c>
      <c r="H638" s="90"/>
      <c r="I638" s="86"/>
    </row>
    <row r="639" spans="1:9" ht="30" customHeight="1">
      <c r="A639" s="22">
        <v>590</v>
      </c>
      <c r="B639" s="26" t="s">
        <v>1090</v>
      </c>
      <c r="C639" s="26" t="s">
        <v>1148</v>
      </c>
      <c r="D639" s="130">
        <v>1700</v>
      </c>
      <c r="E639" s="51">
        <v>50</v>
      </c>
      <c r="F639" s="27">
        <v>1</v>
      </c>
      <c r="G639" s="41">
        <f>InventoryList[[#This Row],[NLC (NET LANDING COST]]*InventoryList[[#This Row],[Quantity in stock]]</f>
        <v>1700</v>
      </c>
      <c r="H639" s="62"/>
      <c r="I639" s="22"/>
    </row>
    <row r="640" spans="1:9" ht="30" customHeight="1">
      <c r="A640" s="22">
        <v>591</v>
      </c>
      <c r="B640" s="26" t="s">
        <v>1091</v>
      </c>
      <c r="C640" s="26" t="s">
        <v>1149</v>
      </c>
      <c r="D640" s="130">
        <v>2250</v>
      </c>
      <c r="E640" s="51">
        <v>60</v>
      </c>
      <c r="F640" s="27">
        <v>1</v>
      </c>
      <c r="G640" s="41">
        <f>InventoryList[[#This Row],[NLC (NET LANDING COST]]*InventoryList[[#This Row],[Quantity in stock]]</f>
        <v>2250</v>
      </c>
      <c r="H640" s="62"/>
      <c r="I640" s="22"/>
    </row>
    <row r="641" spans="1:9" ht="30" customHeight="1">
      <c r="A641" s="22">
        <v>592</v>
      </c>
      <c r="B641" s="80" t="s">
        <v>1260</v>
      </c>
      <c r="C641" s="80" t="s">
        <v>1205</v>
      </c>
      <c r="D641" s="134">
        <v>29000</v>
      </c>
      <c r="E641" s="87">
        <v>32500</v>
      </c>
      <c r="F641" s="88">
        <v>3</v>
      </c>
      <c r="G641" s="89">
        <f>InventoryList[[#This Row],[NLC (NET LANDING COST]]*InventoryList[[#This Row],[Quantity in stock]]</f>
        <v>87000</v>
      </c>
      <c r="H641" s="62"/>
      <c r="I641" s="22"/>
    </row>
    <row r="642" spans="1:9" ht="30" customHeight="1">
      <c r="A642" s="22">
        <v>593</v>
      </c>
      <c r="B642" s="26" t="s">
        <v>1092</v>
      </c>
      <c r="C642" s="98" t="s">
        <v>1261</v>
      </c>
      <c r="D642" s="130">
        <v>280</v>
      </c>
      <c r="E642" s="51">
        <v>450</v>
      </c>
      <c r="F642" s="27">
        <v>3</v>
      </c>
      <c r="G642" s="41">
        <f>InventoryList[[#This Row],[NLC (NET LANDING COST]]*InventoryList[[#This Row],[Quantity in stock]]</f>
        <v>840</v>
      </c>
      <c r="H642" s="62"/>
      <c r="I642" s="22"/>
    </row>
    <row r="643" spans="1:9" ht="30" customHeight="1">
      <c r="A643" s="22">
        <v>594</v>
      </c>
      <c r="B643" s="26" t="s">
        <v>1093</v>
      </c>
      <c r="C643" s="100" t="s">
        <v>1262</v>
      </c>
      <c r="D643" s="134">
        <v>540</v>
      </c>
      <c r="E643" s="81">
        <v>700</v>
      </c>
      <c r="F643" s="82">
        <v>10</v>
      </c>
      <c r="G643" s="83">
        <v>5400</v>
      </c>
      <c r="H643" s="62"/>
      <c r="I643" s="22"/>
    </row>
    <row r="644" spans="1:9" ht="30" customHeight="1">
      <c r="A644" s="22">
        <v>595</v>
      </c>
      <c r="B644" s="26" t="s">
        <v>1094</v>
      </c>
      <c r="C644" s="100" t="s">
        <v>1263</v>
      </c>
      <c r="D644" s="134">
        <v>360</v>
      </c>
      <c r="E644" s="81">
        <v>430</v>
      </c>
      <c r="F644" s="82">
        <v>20</v>
      </c>
      <c r="G644" s="83">
        <v>7200</v>
      </c>
      <c r="H644" s="62"/>
      <c r="I644" s="22"/>
    </row>
    <row r="645" spans="1:9" ht="30" customHeight="1">
      <c r="A645" s="22">
        <v>596</v>
      </c>
      <c r="B645" s="26" t="s">
        <v>1095</v>
      </c>
      <c r="C645" s="98" t="s">
        <v>1264</v>
      </c>
      <c r="D645" s="130">
        <v>22</v>
      </c>
      <c r="E645" s="51">
        <v>30</v>
      </c>
      <c r="F645" s="27">
        <v>100</v>
      </c>
      <c r="G645" s="41">
        <f>InventoryList[[#This Row],[NLC (NET LANDING COST]]*InventoryList[[#This Row],[Quantity in stock]]</f>
        <v>2200</v>
      </c>
      <c r="H645" s="62"/>
      <c r="I645" s="22"/>
    </row>
    <row r="646" spans="1:9" ht="30" customHeight="1">
      <c r="A646" s="22">
        <v>597</v>
      </c>
      <c r="B646" s="26" t="s">
        <v>1096</v>
      </c>
      <c r="C646" s="98" t="s">
        <v>1268</v>
      </c>
      <c r="D646" s="130">
        <v>180</v>
      </c>
      <c r="E646" s="51">
        <v>260</v>
      </c>
      <c r="F646" s="27">
        <v>5</v>
      </c>
      <c r="G646" s="41">
        <f>InventoryList[[#This Row],[NLC (NET LANDING COST]]*InventoryList[[#This Row],[Quantity in stock]]</f>
        <v>900</v>
      </c>
      <c r="H646" s="62"/>
      <c r="I646" s="22"/>
    </row>
    <row r="647" spans="1:9" ht="30" customHeight="1">
      <c r="A647" s="22">
        <v>598</v>
      </c>
      <c r="B647" s="26" t="s">
        <v>1097</v>
      </c>
      <c r="C647" s="98" t="s">
        <v>1269</v>
      </c>
      <c r="D647" s="130">
        <v>3600</v>
      </c>
      <c r="E647" s="51">
        <v>4200</v>
      </c>
      <c r="F647" s="27">
        <v>2</v>
      </c>
      <c r="G647" s="41">
        <f>InventoryList[[#This Row],[NLC (NET LANDING COST]]*InventoryList[[#This Row],[Quantity in stock]]</f>
        <v>7200</v>
      </c>
      <c r="H647" s="62"/>
      <c r="I647" s="22"/>
    </row>
    <row r="648" spans="1:9" ht="30" customHeight="1">
      <c r="A648" s="22">
        <v>599</v>
      </c>
      <c r="B648" s="26" t="s">
        <v>1098</v>
      </c>
      <c r="C648" s="98" t="s">
        <v>1265</v>
      </c>
      <c r="D648" s="130">
        <v>650</v>
      </c>
      <c r="E648" s="51">
        <v>1000</v>
      </c>
      <c r="F648" s="27">
        <v>3</v>
      </c>
      <c r="G648" s="41">
        <f>InventoryList[[#This Row],[NLC (NET LANDING COST]]*InventoryList[[#This Row],[Quantity in stock]]</f>
        <v>1950</v>
      </c>
      <c r="H648" s="62"/>
      <c r="I648" s="22"/>
    </row>
    <row r="649" spans="1:9" ht="30" customHeight="1">
      <c r="A649" s="22">
        <v>600</v>
      </c>
      <c r="B649" s="26" t="s">
        <v>1099</v>
      </c>
      <c r="C649" s="98" t="s">
        <v>1266</v>
      </c>
      <c r="D649" s="130">
        <v>800</v>
      </c>
      <c r="E649" s="51">
        <v>1150</v>
      </c>
      <c r="F649" s="27">
        <v>2</v>
      </c>
      <c r="G649" s="41">
        <f>InventoryList[[#This Row],[NLC (NET LANDING COST]]*InventoryList[[#This Row],[Quantity in stock]]</f>
        <v>1600</v>
      </c>
      <c r="H649" s="62"/>
      <c r="I649" s="22"/>
    </row>
    <row r="650" spans="1:9" ht="30" customHeight="1">
      <c r="A650" s="22">
        <v>601</v>
      </c>
      <c r="B650" s="26" t="s">
        <v>1100</v>
      </c>
      <c r="C650" s="22" t="s">
        <v>1267</v>
      </c>
      <c r="D650" s="130">
        <v>1200</v>
      </c>
      <c r="E650" s="51">
        <v>40</v>
      </c>
      <c r="F650" s="27">
        <v>1</v>
      </c>
      <c r="G650" s="41">
        <f>InventoryList[[#This Row],[NLC (NET LANDING COST]]*InventoryList[[#This Row],[Quantity in stock]]</f>
        <v>1200</v>
      </c>
      <c r="H650" s="62"/>
      <c r="I650" s="22"/>
    </row>
    <row r="651" spans="1:9" ht="30" customHeight="1">
      <c r="A651" s="22">
        <v>602</v>
      </c>
      <c r="B651" s="26" t="s">
        <v>1101</v>
      </c>
      <c r="C651" s="98" t="s">
        <v>1278</v>
      </c>
      <c r="D651" s="130">
        <v>1350</v>
      </c>
      <c r="E651" s="51">
        <v>100</v>
      </c>
      <c r="F651" s="27">
        <v>2.16</v>
      </c>
      <c r="G651" s="41">
        <f>InventoryList[[#This Row],[NLC (NET LANDING COST]]*InventoryList[[#This Row],[Quantity in stock]]</f>
        <v>2916</v>
      </c>
      <c r="H651" s="62"/>
      <c r="I651" s="22"/>
    </row>
    <row r="652" spans="1:9" ht="30" customHeight="1">
      <c r="A652" s="28" t="s">
        <v>51</v>
      </c>
      <c r="B652" s="29">
        <v>9492</v>
      </c>
      <c r="C652" s="29" t="s">
        <v>525</v>
      </c>
      <c r="D652" s="130" t="s">
        <v>120</v>
      </c>
      <c r="E652" s="43"/>
      <c r="F652" s="30">
        <v>600</v>
      </c>
      <c r="G652" s="97"/>
      <c r="H652" s="67">
        <v>32006</v>
      </c>
      <c r="I652" s="22"/>
    </row>
    <row r="653" spans="1:9" ht="30" customHeight="1">
      <c r="A653" s="22">
        <v>604</v>
      </c>
      <c r="B653" s="26" t="s">
        <v>1102</v>
      </c>
      <c r="C653" s="98" t="s">
        <v>1274</v>
      </c>
      <c r="D653" s="130">
        <v>280</v>
      </c>
      <c r="E653" s="51">
        <v>350</v>
      </c>
      <c r="F653" s="27">
        <v>4</v>
      </c>
      <c r="G653" s="41">
        <f>InventoryList[[#This Row],[NLC (NET LANDING COST]]*InventoryList[[#This Row],[Quantity in stock]]</f>
        <v>1120</v>
      </c>
      <c r="H653" s="62"/>
      <c r="I653" s="22"/>
    </row>
    <row r="654" spans="1:9" ht="30" customHeight="1">
      <c r="A654" s="22">
        <v>605</v>
      </c>
      <c r="B654" s="26" t="s">
        <v>1103</v>
      </c>
      <c r="C654" s="98" t="s">
        <v>1274</v>
      </c>
      <c r="D654" s="130">
        <v>300</v>
      </c>
      <c r="E654" s="51">
        <v>400</v>
      </c>
      <c r="F654" s="27">
        <v>1</v>
      </c>
      <c r="G654" s="41">
        <f>InventoryList[[#This Row],[NLC (NET LANDING COST]]*InventoryList[[#This Row],[Quantity in stock]]</f>
        <v>300</v>
      </c>
      <c r="H654" s="62"/>
      <c r="I654" s="22"/>
    </row>
    <row r="655" spans="1:9" ht="30" customHeight="1">
      <c r="A655" s="22">
        <v>606</v>
      </c>
      <c r="B655" s="26" t="s">
        <v>1104</v>
      </c>
      <c r="C655" s="98" t="s">
        <v>1271</v>
      </c>
      <c r="D655" s="130">
        <v>90</v>
      </c>
      <c r="E655" s="78">
        <v>130</v>
      </c>
      <c r="F655" s="27">
        <v>5</v>
      </c>
      <c r="G655" s="41">
        <f>InventoryList[[#This Row],[NLC (NET LANDING COST]]*InventoryList[[#This Row],[Quantity in stock]]</f>
        <v>450</v>
      </c>
      <c r="H655" s="62"/>
      <c r="I655" s="22"/>
    </row>
    <row r="656" spans="1:9" ht="30" customHeight="1">
      <c r="A656" s="22">
        <v>607</v>
      </c>
      <c r="B656" s="26" t="s">
        <v>1105</v>
      </c>
      <c r="C656" s="98" t="s">
        <v>1272</v>
      </c>
      <c r="D656" s="130">
        <v>80</v>
      </c>
      <c r="E656" s="51">
        <v>120</v>
      </c>
      <c r="F656" s="27">
        <v>5</v>
      </c>
      <c r="G656" s="41">
        <f>InventoryList[[#This Row],[NLC (NET LANDING COST]]*InventoryList[[#This Row],[Quantity in stock]]</f>
        <v>400</v>
      </c>
      <c r="H656" s="62"/>
      <c r="I656" s="22"/>
    </row>
    <row r="657" spans="1:9" ht="30" customHeight="1">
      <c r="A657" s="22">
        <v>608</v>
      </c>
      <c r="B657" s="26" t="s">
        <v>1106</v>
      </c>
      <c r="C657" s="98" t="s">
        <v>1270</v>
      </c>
      <c r="D657" s="130">
        <v>90</v>
      </c>
      <c r="E657" s="51">
        <v>130</v>
      </c>
      <c r="F657" s="27">
        <v>3</v>
      </c>
      <c r="G657" s="41">
        <f>InventoryList[[#This Row],[NLC (NET LANDING COST]]*InventoryList[[#This Row],[Quantity in stock]]</f>
        <v>270</v>
      </c>
      <c r="H657" s="62"/>
      <c r="I657" s="22"/>
    </row>
    <row r="658" spans="1:9" ht="30" customHeight="1">
      <c r="A658" s="22">
        <v>609</v>
      </c>
      <c r="B658" s="26" t="s">
        <v>1107</v>
      </c>
      <c r="C658" s="98" t="s">
        <v>1273</v>
      </c>
      <c r="D658" s="130">
        <v>80</v>
      </c>
      <c r="E658" s="51">
        <v>120</v>
      </c>
      <c r="F658" s="27">
        <v>4</v>
      </c>
      <c r="G658" s="41">
        <f>InventoryList[[#This Row],[NLC (NET LANDING COST]]*InventoryList[[#This Row],[Quantity in stock]]</f>
        <v>320</v>
      </c>
      <c r="H658" s="62"/>
      <c r="I658" s="22"/>
    </row>
    <row r="659" spans="1:9" ht="30" customHeight="1">
      <c r="A659" s="22">
        <v>610</v>
      </c>
      <c r="B659" s="26" t="s">
        <v>1108</v>
      </c>
      <c r="C659" s="98" t="s">
        <v>1275</v>
      </c>
      <c r="D659" s="130">
        <v>80</v>
      </c>
      <c r="E659" s="51">
        <v>120</v>
      </c>
      <c r="F659" s="27">
        <v>2</v>
      </c>
      <c r="G659" s="41">
        <f>InventoryList[[#This Row],[NLC (NET LANDING COST]]*InventoryList[[#This Row],[Quantity in stock]]</f>
        <v>160</v>
      </c>
      <c r="H659" s="62"/>
      <c r="I659" s="22"/>
    </row>
    <row r="660" spans="1:9" ht="30" customHeight="1">
      <c r="A660" s="22">
        <v>611</v>
      </c>
      <c r="B660" s="26" t="s">
        <v>1109</v>
      </c>
      <c r="C660" s="99" t="s">
        <v>1276</v>
      </c>
      <c r="D660" s="130">
        <v>32</v>
      </c>
      <c r="E660" s="51">
        <v>50</v>
      </c>
      <c r="F660" s="27">
        <v>50</v>
      </c>
      <c r="G660" s="41">
        <f>InventoryList[[#This Row],[NLC (NET LANDING COST]]*InventoryList[[#This Row],[Quantity in stock]]</f>
        <v>1600</v>
      </c>
      <c r="H660" s="62"/>
      <c r="I660" s="22"/>
    </row>
    <row r="661" spans="1:9" ht="30" customHeight="1">
      <c r="A661" s="22">
        <v>612</v>
      </c>
      <c r="B661" s="26" t="s">
        <v>1110</v>
      </c>
      <c r="C661" s="26" t="s">
        <v>1279</v>
      </c>
      <c r="D661" s="130">
        <v>100</v>
      </c>
      <c r="E661" s="51">
        <v>150</v>
      </c>
      <c r="F661" s="27">
        <v>2</v>
      </c>
      <c r="G661" s="41">
        <f>InventoryList[[#This Row],[NLC (NET LANDING COST]]*InventoryList[[#This Row],[Quantity in stock]]</f>
        <v>200</v>
      </c>
      <c r="H661" s="62"/>
      <c r="I661" s="22"/>
    </row>
    <row r="662" spans="1:9" ht="30" customHeight="1">
      <c r="A662" s="22">
        <v>613</v>
      </c>
      <c r="B662" s="26" t="s">
        <v>1111</v>
      </c>
      <c r="C662" s="26" t="s">
        <v>1284</v>
      </c>
      <c r="D662" s="130">
        <v>350</v>
      </c>
      <c r="E662" s="51">
        <v>500</v>
      </c>
      <c r="F662" s="27">
        <v>2</v>
      </c>
      <c r="G662" s="41">
        <f>InventoryList[[#This Row],[NLC (NET LANDING COST]]*InventoryList[[#This Row],[Quantity in stock]]</f>
        <v>700</v>
      </c>
      <c r="H662" s="62"/>
      <c r="I662" s="22"/>
    </row>
    <row r="663" spans="1:9" ht="30" customHeight="1">
      <c r="A663" s="22">
        <v>614</v>
      </c>
      <c r="B663" s="26" t="s">
        <v>1112</v>
      </c>
      <c r="C663" s="26" t="s">
        <v>1289</v>
      </c>
      <c r="D663" s="130">
        <v>300</v>
      </c>
      <c r="E663" s="51">
        <v>450</v>
      </c>
      <c r="F663" s="27">
        <v>2</v>
      </c>
      <c r="G663" s="41">
        <f>InventoryList[[#This Row],[NLC (NET LANDING COST]]*InventoryList[[#This Row],[Quantity in stock]]</f>
        <v>600</v>
      </c>
      <c r="H663" s="62"/>
      <c r="I663" s="22"/>
    </row>
    <row r="664" spans="1:9" ht="30" customHeight="1">
      <c r="A664" s="22">
        <v>615</v>
      </c>
      <c r="B664" s="26" t="s">
        <v>1113</v>
      </c>
      <c r="C664" s="26" t="s">
        <v>1280</v>
      </c>
      <c r="D664" s="130">
        <v>400</v>
      </c>
      <c r="E664" s="51">
        <v>600</v>
      </c>
      <c r="F664" s="27">
        <v>2</v>
      </c>
      <c r="G664" s="41">
        <f>InventoryList[[#This Row],[NLC (NET LANDING COST]]*InventoryList[[#This Row],[Quantity in stock]]</f>
        <v>800</v>
      </c>
      <c r="H664" s="62"/>
      <c r="I664" s="22"/>
    </row>
    <row r="665" spans="1:9" ht="30" customHeight="1">
      <c r="A665" s="22">
        <v>616</v>
      </c>
      <c r="B665" s="26" t="s">
        <v>1114</v>
      </c>
      <c r="C665" s="26" t="s">
        <v>1281</v>
      </c>
      <c r="D665" s="130">
        <v>300</v>
      </c>
      <c r="E665" s="51">
        <v>550</v>
      </c>
      <c r="F665" s="27">
        <v>1</v>
      </c>
      <c r="G665" s="41">
        <f>InventoryList[[#This Row],[NLC (NET LANDING COST]]*InventoryList[[#This Row],[Quantity in stock]]</f>
        <v>300</v>
      </c>
      <c r="H665" s="62"/>
      <c r="I665" s="22"/>
    </row>
    <row r="666" spans="1:9" ht="30" customHeight="1">
      <c r="A666" s="22">
        <v>617</v>
      </c>
      <c r="B666" s="26" t="s">
        <v>1115</v>
      </c>
      <c r="C666" s="26" t="s">
        <v>1282</v>
      </c>
      <c r="D666" s="130">
        <v>700</v>
      </c>
      <c r="E666" s="51">
        <v>1000</v>
      </c>
      <c r="F666" s="27">
        <v>1</v>
      </c>
      <c r="G666" s="41">
        <f>InventoryList[[#This Row],[NLC (NET LANDING COST]]*InventoryList[[#This Row],[Quantity in stock]]</f>
        <v>700</v>
      </c>
      <c r="H666" s="62"/>
      <c r="I666" s="22"/>
    </row>
    <row r="667" spans="1:9" ht="30" customHeight="1">
      <c r="A667" s="22">
        <v>618</v>
      </c>
      <c r="B667" s="26" t="s">
        <v>1116</v>
      </c>
      <c r="C667" s="26" t="s">
        <v>1283</v>
      </c>
      <c r="D667" s="130">
        <v>750</v>
      </c>
      <c r="E667" s="51">
        <v>900</v>
      </c>
      <c r="F667" s="27">
        <v>5</v>
      </c>
      <c r="G667" s="41">
        <f>InventoryList[[#This Row],[NLC (NET LANDING COST]]*InventoryList[[#This Row],[Quantity in stock]]</f>
        <v>3750</v>
      </c>
      <c r="H667" s="62"/>
      <c r="I667" s="22"/>
    </row>
    <row r="668" spans="1:9" ht="30" customHeight="1">
      <c r="A668" s="22">
        <v>619</v>
      </c>
      <c r="B668" s="26" t="s">
        <v>1117</v>
      </c>
      <c r="C668" s="26" t="s">
        <v>1285</v>
      </c>
      <c r="D668" s="130">
        <v>400</v>
      </c>
      <c r="E668" s="51">
        <v>600</v>
      </c>
      <c r="F668" s="27">
        <v>3</v>
      </c>
      <c r="G668" s="41">
        <f>InventoryList[[#This Row],[NLC (NET LANDING COST]]*InventoryList[[#This Row],[Quantity in stock]]</f>
        <v>1200</v>
      </c>
      <c r="H668" s="62"/>
      <c r="I668" s="22"/>
    </row>
    <row r="669" spans="1:9" ht="30" customHeight="1">
      <c r="A669" s="22">
        <v>620</v>
      </c>
      <c r="B669" s="26" t="s">
        <v>1118</v>
      </c>
      <c r="C669" s="26" t="s">
        <v>1286</v>
      </c>
      <c r="D669" s="130">
        <v>350</v>
      </c>
      <c r="E669" s="51">
        <v>550</v>
      </c>
      <c r="F669" s="27">
        <v>1</v>
      </c>
      <c r="G669" s="41">
        <f>InventoryList[[#This Row],[NLC (NET LANDING COST]]*InventoryList[[#This Row],[Quantity in stock]]</f>
        <v>350</v>
      </c>
      <c r="H669" s="62"/>
      <c r="I669" s="22"/>
    </row>
    <row r="670" spans="1:9" ht="30" customHeight="1">
      <c r="A670" s="22">
        <v>621</v>
      </c>
      <c r="B670" s="26" t="s">
        <v>1119</v>
      </c>
      <c r="C670" s="26" t="s">
        <v>1287</v>
      </c>
      <c r="D670" s="130">
        <v>300</v>
      </c>
      <c r="E670" s="51">
        <v>500</v>
      </c>
      <c r="F670" s="27">
        <v>1</v>
      </c>
      <c r="G670" s="41">
        <f>InventoryList[[#This Row],[NLC (NET LANDING COST]]*InventoryList[[#This Row],[Quantity in stock]]</f>
        <v>300</v>
      </c>
      <c r="H670" s="62"/>
      <c r="I670" s="22"/>
    </row>
    <row r="671" spans="1:9" ht="30" customHeight="1">
      <c r="A671" s="22">
        <v>622</v>
      </c>
      <c r="B671" s="26" t="s">
        <v>1120</v>
      </c>
      <c r="C671" s="26" t="s">
        <v>1288</v>
      </c>
      <c r="D671" s="130">
        <v>350</v>
      </c>
      <c r="E671" s="51">
        <v>550</v>
      </c>
      <c r="F671" s="27">
        <v>1</v>
      </c>
      <c r="G671" s="41">
        <f>InventoryList[[#This Row],[NLC (NET LANDING COST]]*InventoryList[[#This Row],[Quantity in stock]]</f>
        <v>350</v>
      </c>
      <c r="H671" s="62"/>
      <c r="I671" s="22"/>
    </row>
    <row r="672" spans="1:9" ht="30" customHeight="1">
      <c r="A672" s="22">
        <v>623</v>
      </c>
      <c r="B672" s="26" t="s">
        <v>1121</v>
      </c>
      <c r="C672" s="26" t="s">
        <v>1290</v>
      </c>
      <c r="D672" s="130">
        <v>350</v>
      </c>
      <c r="E672" s="51">
        <v>550</v>
      </c>
      <c r="F672" s="27">
        <v>1</v>
      </c>
      <c r="G672" s="41">
        <f>InventoryList[[#This Row],[NLC (NET LANDING COST]]*InventoryList[[#This Row],[Quantity in stock]]</f>
        <v>350</v>
      </c>
      <c r="H672" s="62"/>
      <c r="I672" s="22"/>
    </row>
    <row r="673" spans="1:9" ht="30" customHeight="1">
      <c r="A673" s="22">
        <v>624</v>
      </c>
      <c r="B673" s="26" t="s">
        <v>1122</v>
      </c>
      <c r="C673" s="26" t="s">
        <v>1291</v>
      </c>
      <c r="D673" s="130">
        <v>450</v>
      </c>
      <c r="E673" s="51">
        <v>600</v>
      </c>
      <c r="F673" s="27">
        <v>1</v>
      </c>
      <c r="G673" s="41">
        <f>InventoryList[[#This Row],[NLC (NET LANDING COST]]*InventoryList[[#This Row],[Quantity in stock]]</f>
        <v>450</v>
      </c>
      <c r="H673" s="62"/>
      <c r="I673" s="22"/>
    </row>
    <row r="674" spans="1:9" ht="30" customHeight="1">
      <c r="A674" s="22">
        <v>625</v>
      </c>
      <c r="B674" s="26" t="s">
        <v>1123</v>
      </c>
      <c r="C674" s="26" t="s">
        <v>1292</v>
      </c>
      <c r="D674" s="130">
        <v>350</v>
      </c>
      <c r="E674" s="51">
        <v>550</v>
      </c>
      <c r="F674" s="27">
        <v>1</v>
      </c>
      <c r="G674" s="41">
        <f>InventoryList[[#This Row],[NLC (NET LANDING COST]]*InventoryList[[#This Row],[Quantity in stock]]</f>
        <v>350</v>
      </c>
      <c r="H674" s="62"/>
      <c r="I674" s="22"/>
    </row>
    <row r="675" spans="1:9" ht="30" customHeight="1">
      <c r="A675" s="22">
        <v>626</v>
      </c>
      <c r="B675" s="26" t="s">
        <v>1124</v>
      </c>
      <c r="C675" s="26" t="s">
        <v>1293</v>
      </c>
      <c r="D675" s="130">
        <v>300</v>
      </c>
      <c r="E675" s="51">
        <v>450</v>
      </c>
      <c r="F675" s="27">
        <v>1</v>
      </c>
      <c r="G675" s="41">
        <f>InventoryList[[#This Row],[NLC (NET LANDING COST]]*InventoryList[[#This Row],[Quantity in stock]]</f>
        <v>300</v>
      </c>
      <c r="H675" s="62"/>
      <c r="I675" s="22"/>
    </row>
    <row r="676" spans="1:9" ht="30" customHeight="1">
      <c r="A676" s="22">
        <v>627</v>
      </c>
      <c r="B676" s="26" t="s">
        <v>1125</v>
      </c>
      <c r="C676" s="26" t="s">
        <v>1294</v>
      </c>
      <c r="D676" s="130">
        <v>300</v>
      </c>
      <c r="E676" s="51">
        <v>600</v>
      </c>
      <c r="F676" s="27">
        <v>2</v>
      </c>
      <c r="G676" s="41">
        <f>InventoryList[[#This Row],[NLC (NET LANDING COST]]*InventoryList[[#This Row],[Quantity in stock]]</f>
        <v>600</v>
      </c>
      <c r="H676" s="62"/>
      <c r="I676" s="22"/>
    </row>
    <row r="677" spans="1:9" ht="30" customHeight="1">
      <c r="A677" s="22">
        <v>628</v>
      </c>
      <c r="B677" s="26" t="s">
        <v>1126</v>
      </c>
      <c r="C677" s="26" t="s">
        <v>1295</v>
      </c>
      <c r="D677" s="130">
        <v>1500</v>
      </c>
      <c r="E677" s="51">
        <v>2000</v>
      </c>
      <c r="F677" s="27">
        <v>1</v>
      </c>
      <c r="G677" s="41">
        <f>InventoryList[[#This Row],[NLC (NET LANDING COST]]*InventoryList[[#This Row],[Quantity in stock]]</f>
        <v>1500</v>
      </c>
      <c r="H677" s="62"/>
      <c r="I677" s="22"/>
    </row>
    <row r="678" spans="1:9" ht="30" customHeight="1">
      <c r="A678" s="22">
        <v>629</v>
      </c>
      <c r="B678" s="26" t="s">
        <v>1127</v>
      </c>
      <c r="C678" s="26" t="s">
        <v>1296</v>
      </c>
      <c r="D678" s="130">
        <v>3300</v>
      </c>
      <c r="E678" s="51">
        <v>3600</v>
      </c>
      <c r="F678" s="27">
        <v>1</v>
      </c>
      <c r="G678" s="41">
        <f>InventoryList[[#This Row],[NLC (NET LANDING COST]]*InventoryList[[#This Row],[Quantity in stock]]</f>
        <v>3300</v>
      </c>
      <c r="H678" s="62"/>
      <c r="I678" s="22"/>
    </row>
    <row r="679" spans="1:9" ht="30" customHeight="1">
      <c r="A679" s="22">
        <v>630</v>
      </c>
      <c r="B679" s="26" t="s">
        <v>1128</v>
      </c>
      <c r="C679" s="26" t="s">
        <v>1297</v>
      </c>
      <c r="D679" s="130">
        <v>620</v>
      </c>
      <c r="E679" s="51">
        <v>800</v>
      </c>
      <c r="F679" s="27">
        <v>12</v>
      </c>
      <c r="G679" s="41">
        <f>InventoryList[[#This Row],[NLC (NET LANDING COST]]*InventoryList[[#This Row],[Quantity in stock]]</f>
        <v>7440</v>
      </c>
      <c r="H679" s="62"/>
      <c r="I679" s="22"/>
    </row>
    <row r="680" spans="1:9" ht="30" customHeight="1">
      <c r="A680" s="22">
        <v>631</v>
      </c>
      <c r="B680" s="26" t="s">
        <v>1129</v>
      </c>
      <c r="C680" s="26" t="s">
        <v>1298</v>
      </c>
      <c r="D680" s="130">
        <v>300</v>
      </c>
      <c r="E680" s="51">
        <v>700</v>
      </c>
      <c r="F680" s="27">
        <v>2</v>
      </c>
      <c r="G680" s="41">
        <f>InventoryList[[#This Row],[NLC (NET LANDING COST]]*InventoryList[[#This Row],[Quantity in stock]]</f>
        <v>600</v>
      </c>
      <c r="H680" s="62"/>
      <c r="I680" s="22"/>
    </row>
    <row r="681" spans="1:9" ht="30" customHeight="1">
      <c r="A681" s="22">
        <v>632</v>
      </c>
      <c r="B681" s="26" t="s">
        <v>1130</v>
      </c>
      <c r="C681" s="26" t="s">
        <v>1299</v>
      </c>
      <c r="D681" s="130">
        <v>190</v>
      </c>
      <c r="E681" s="51">
        <v>260</v>
      </c>
      <c r="F681" s="27">
        <v>3</v>
      </c>
      <c r="G681" s="41">
        <f>InventoryList[[#This Row],[NLC (NET LANDING COST]]*InventoryList[[#This Row],[Quantity in stock]]</f>
        <v>570</v>
      </c>
      <c r="H681" s="62"/>
      <c r="I681" s="22"/>
    </row>
    <row r="682" spans="1:9" ht="30" customHeight="1">
      <c r="A682" s="28" t="s">
        <v>51</v>
      </c>
      <c r="B682" s="29">
        <v>1</v>
      </c>
      <c r="C682" s="29" t="s">
        <v>1515</v>
      </c>
      <c r="D682" s="130" t="s">
        <v>1562</v>
      </c>
      <c r="E682" s="43"/>
      <c r="F682" s="30"/>
      <c r="G682" s="97"/>
      <c r="H682" s="67"/>
      <c r="I682" s="22"/>
    </row>
    <row r="683" spans="1:9" ht="30" customHeight="1">
      <c r="A683" s="22">
        <v>633</v>
      </c>
      <c r="B683" s="26" t="s">
        <v>1516</v>
      </c>
      <c r="C683" s="26" t="s">
        <v>1300</v>
      </c>
      <c r="D683" s="130">
        <v>950</v>
      </c>
      <c r="E683" s="51">
        <v>1500</v>
      </c>
      <c r="F683" s="27">
        <v>2</v>
      </c>
      <c r="G683" s="41">
        <f>InventoryList[[#This Row],[NLC (NET LANDING COST]]*InventoryList[[#This Row],[Quantity in stock]]</f>
        <v>1900</v>
      </c>
      <c r="H683" s="62"/>
      <c r="I683" s="22"/>
    </row>
    <row r="684" spans="1:9" ht="30" customHeight="1">
      <c r="A684" s="22">
        <v>634</v>
      </c>
      <c r="B684" s="26" t="s">
        <v>1517</v>
      </c>
      <c r="C684" s="26" t="s">
        <v>1301</v>
      </c>
      <c r="D684" s="130">
        <v>950</v>
      </c>
      <c r="E684" s="51">
        <v>1500</v>
      </c>
      <c r="F684" s="27">
        <v>2</v>
      </c>
      <c r="G684" s="41">
        <f>InventoryList[[#This Row],[NLC (NET LANDING COST]]*InventoryList[[#This Row],[Quantity in stock]]</f>
        <v>1900</v>
      </c>
      <c r="H684" s="62"/>
      <c r="I684" s="22"/>
    </row>
    <row r="685" spans="1:9" ht="30" customHeight="1">
      <c r="A685" s="22">
        <v>635</v>
      </c>
      <c r="B685" s="26" t="s">
        <v>1518</v>
      </c>
      <c r="C685" s="26" t="s">
        <v>1302</v>
      </c>
      <c r="D685" s="130">
        <v>750</v>
      </c>
      <c r="E685" s="51">
        <v>1300</v>
      </c>
      <c r="F685" s="27">
        <v>2</v>
      </c>
      <c r="G685" s="41">
        <f>InventoryList[[#This Row],[NLC (NET LANDING COST]]*InventoryList[[#This Row],[Quantity in stock]]</f>
        <v>1500</v>
      </c>
      <c r="H685" s="62"/>
      <c r="I685" s="22"/>
    </row>
    <row r="686" spans="1:9" ht="30" customHeight="1">
      <c r="A686" s="22">
        <v>636</v>
      </c>
      <c r="B686" s="26" t="s">
        <v>1519</v>
      </c>
      <c r="C686" s="26" t="s">
        <v>1312</v>
      </c>
      <c r="D686" s="130">
        <v>1450</v>
      </c>
      <c r="E686" s="51">
        <v>2000</v>
      </c>
      <c r="F686" s="27">
        <v>2</v>
      </c>
      <c r="G686" s="41">
        <f>InventoryList[[#This Row],[NLC (NET LANDING COST]]*InventoryList[[#This Row],[Quantity in stock]]</f>
        <v>2900</v>
      </c>
      <c r="H686" s="62"/>
      <c r="I686" s="22"/>
    </row>
    <row r="687" spans="1:9" ht="30" customHeight="1">
      <c r="A687" s="22">
        <v>637</v>
      </c>
      <c r="B687" s="26" t="s">
        <v>1520</v>
      </c>
      <c r="C687" s="26" t="s">
        <v>1311</v>
      </c>
      <c r="D687" s="130">
        <v>1550</v>
      </c>
      <c r="E687" s="51">
        <v>2100</v>
      </c>
      <c r="F687" s="27">
        <v>2</v>
      </c>
      <c r="G687" s="41">
        <f>InventoryList[[#This Row],[NLC (NET LANDING COST]]*InventoryList[[#This Row],[Quantity in stock]]</f>
        <v>3100</v>
      </c>
      <c r="H687" s="62"/>
      <c r="I687" s="22"/>
    </row>
    <row r="688" spans="1:9" ht="30" customHeight="1">
      <c r="A688" s="22">
        <v>638</v>
      </c>
      <c r="B688" s="26" t="s">
        <v>1521</v>
      </c>
      <c r="C688" s="26" t="s">
        <v>1310</v>
      </c>
      <c r="D688" s="130">
        <v>1450</v>
      </c>
      <c r="E688" s="51">
        <v>2000</v>
      </c>
      <c r="F688" s="27">
        <v>2</v>
      </c>
      <c r="G688" s="41">
        <f>InventoryList[[#This Row],[NLC (NET LANDING COST]]*InventoryList[[#This Row],[Quantity in stock]]</f>
        <v>2900</v>
      </c>
      <c r="H688" s="62"/>
      <c r="I688" s="22"/>
    </row>
    <row r="689" spans="1:9" ht="30" customHeight="1">
      <c r="A689" s="22">
        <v>639</v>
      </c>
      <c r="B689" s="26" t="s">
        <v>1522</v>
      </c>
      <c r="C689" s="26" t="s">
        <v>1307</v>
      </c>
      <c r="D689" s="130">
        <v>1450</v>
      </c>
      <c r="E689" s="51">
        <v>2000</v>
      </c>
      <c r="F689" s="27">
        <v>2</v>
      </c>
      <c r="G689" s="41">
        <f>InventoryList[[#This Row],[NLC (NET LANDING COST]]*InventoryList[[#This Row],[Quantity in stock]]</f>
        <v>2900</v>
      </c>
      <c r="H689" s="62"/>
      <c r="I689" s="22"/>
    </row>
    <row r="690" spans="1:9" ht="30" customHeight="1">
      <c r="A690" s="22">
        <v>640</v>
      </c>
      <c r="B690" s="26" t="s">
        <v>1523</v>
      </c>
      <c r="C690" s="26" t="s">
        <v>1309</v>
      </c>
      <c r="D690" s="130">
        <v>1000</v>
      </c>
      <c r="E690" s="51">
        <v>1500</v>
      </c>
      <c r="F690" s="27">
        <v>2</v>
      </c>
      <c r="G690" s="41">
        <f>InventoryList[[#This Row],[NLC (NET LANDING COST]]*InventoryList[[#This Row],[Quantity in stock]]</f>
        <v>2000</v>
      </c>
      <c r="H690" s="62"/>
      <c r="I690" s="22"/>
    </row>
    <row r="691" spans="1:9" ht="30" customHeight="1">
      <c r="A691" s="22">
        <v>641</v>
      </c>
      <c r="B691" s="26" t="s">
        <v>1524</v>
      </c>
      <c r="C691" s="26" t="s">
        <v>1308</v>
      </c>
      <c r="D691" s="130">
        <v>1450</v>
      </c>
      <c r="E691" s="51">
        <v>2000</v>
      </c>
      <c r="F691" s="27">
        <v>2</v>
      </c>
      <c r="G691" s="41">
        <f>InventoryList[[#This Row],[NLC (NET LANDING COST]]*InventoryList[[#This Row],[Quantity in stock]]</f>
        <v>2900</v>
      </c>
      <c r="H691" s="62"/>
      <c r="I691" s="22"/>
    </row>
    <row r="692" spans="1:9" ht="30" customHeight="1">
      <c r="A692" s="22">
        <v>642</v>
      </c>
      <c r="B692" s="26" t="s">
        <v>1525</v>
      </c>
      <c r="C692" s="26" t="s">
        <v>1307</v>
      </c>
      <c r="D692" s="130">
        <v>1100</v>
      </c>
      <c r="E692" s="51">
        <v>1600</v>
      </c>
      <c r="F692" s="27">
        <v>3</v>
      </c>
      <c r="G692" s="41">
        <f>InventoryList[[#This Row],[NLC (NET LANDING COST]]*InventoryList[[#This Row],[Quantity in stock]]</f>
        <v>3300</v>
      </c>
      <c r="H692" s="62"/>
      <c r="I692" s="22"/>
    </row>
    <row r="693" spans="1:9" ht="30" customHeight="1">
      <c r="A693" s="22">
        <v>643</v>
      </c>
      <c r="B693" s="26" t="s">
        <v>1526</v>
      </c>
      <c r="C693" s="26" t="s">
        <v>1306</v>
      </c>
      <c r="D693" s="130">
        <v>950</v>
      </c>
      <c r="E693" s="51">
        <v>1500</v>
      </c>
      <c r="F693" s="27">
        <v>2</v>
      </c>
      <c r="G693" s="41">
        <f>InventoryList[[#This Row],[NLC (NET LANDING COST]]*InventoryList[[#This Row],[Quantity in stock]]</f>
        <v>1900</v>
      </c>
      <c r="H693" s="62"/>
      <c r="I693" s="22"/>
    </row>
    <row r="694" spans="1:9" ht="30" customHeight="1">
      <c r="A694" s="22">
        <v>644</v>
      </c>
      <c r="B694" s="26" t="s">
        <v>1527</v>
      </c>
      <c r="C694" s="26" t="s">
        <v>1305</v>
      </c>
      <c r="D694" s="130">
        <v>950</v>
      </c>
      <c r="E694" s="51">
        <v>1500</v>
      </c>
      <c r="F694" s="27">
        <v>2</v>
      </c>
      <c r="G694" s="41">
        <f>InventoryList[[#This Row],[NLC (NET LANDING COST]]*InventoryList[[#This Row],[Quantity in stock]]</f>
        <v>1900</v>
      </c>
      <c r="H694" s="62"/>
      <c r="I694" s="22"/>
    </row>
    <row r="695" spans="1:9" ht="30" customHeight="1">
      <c r="A695" s="22">
        <v>645</v>
      </c>
      <c r="B695" s="26" t="s">
        <v>1528</v>
      </c>
      <c r="C695" s="26" t="s">
        <v>1304</v>
      </c>
      <c r="D695" s="130">
        <v>1550</v>
      </c>
      <c r="E695" s="51">
        <v>2100</v>
      </c>
      <c r="F695" s="27">
        <v>2</v>
      </c>
      <c r="G695" s="41">
        <f>InventoryList[[#This Row],[NLC (NET LANDING COST]]*InventoryList[[#This Row],[Quantity in stock]]</f>
        <v>3100</v>
      </c>
      <c r="H695" s="62"/>
      <c r="I695" s="22"/>
    </row>
    <row r="696" spans="1:9" s="91" customFormat="1" ht="30" customHeight="1">
      <c r="A696" s="86">
        <v>646</v>
      </c>
      <c r="B696" s="80" t="s">
        <v>1529</v>
      </c>
      <c r="C696" s="80" t="s">
        <v>1303</v>
      </c>
      <c r="D696" s="134">
        <v>1950</v>
      </c>
      <c r="E696" s="87">
        <v>2500</v>
      </c>
      <c r="F696" s="88">
        <v>2</v>
      </c>
      <c r="G696" s="89">
        <f>InventoryList[[#This Row],[NLC (NET LANDING COST]]*InventoryList[[#This Row],[Quantity in stock]]</f>
        <v>3900</v>
      </c>
      <c r="H696" s="90" t="s">
        <v>1610</v>
      </c>
      <c r="I696" s="86"/>
    </row>
    <row r="697" spans="1:9" ht="30" customHeight="1">
      <c r="A697" s="22">
        <v>647</v>
      </c>
      <c r="B697" s="26" t="s">
        <v>1530</v>
      </c>
      <c r="C697" s="26" t="s">
        <v>1313</v>
      </c>
      <c r="D697" s="130">
        <v>1800</v>
      </c>
      <c r="E697" s="51">
        <v>2300</v>
      </c>
      <c r="F697" s="27">
        <v>2</v>
      </c>
      <c r="G697" s="41">
        <f>InventoryList[[#This Row],[NLC (NET LANDING COST]]*InventoryList[[#This Row],[Quantity in stock]]</f>
        <v>3600</v>
      </c>
      <c r="H697" s="62"/>
      <c r="I697" s="22"/>
    </row>
    <row r="698" spans="1:9" ht="30" customHeight="1">
      <c r="A698" s="22">
        <v>648</v>
      </c>
      <c r="B698" s="26" t="s">
        <v>1531</v>
      </c>
      <c r="C698" s="26" t="s">
        <v>1314</v>
      </c>
      <c r="D698" s="130">
        <v>800</v>
      </c>
      <c r="E698" s="51">
        <v>1300</v>
      </c>
      <c r="F698" s="27">
        <v>2</v>
      </c>
      <c r="G698" s="41">
        <f>InventoryList[[#This Row],[NLC (NET LANDING COST]]*InventoryList[[#This Row],[Quantity in stock]]</f>
        <v>1600</v>
      </c>
      <c r="H698" s="62"/>
      <c r="I698" s="22"/>
    </row>
    <row r="699" spans="1:9" ht="30" customHeight="1">
      <c r="A699" s="22">
        <v>649</v>
      </c>
      <c r="B699" s="26" t="s">
        <v>1532</v>
      </c>
      <c r="C699" s="26" t="s">
        <v>1315</v>
      </c>
      <c r="D699" s="130">
        <v>1300</v>
      </c>
      <c r="E699" s="51">
        <v>1800</v>
      </c>
      <c r="F699" s="27">
        <v>1</v>
      </c>
      <c r="G699" s="41">
        <f>InventoryList[[#This Row],[NLC (NET LANDING COST]]*InventoryList[[#This Row],[Quantity in stock]]</f>
        <v>1300</v>
      </c>
      <c r="H699" s="62"/>
      <c r="I699" s="22"/>
    </row>
    <row r="700" spans="1:9" ht="30" customHeight="1">
      <c r="A700" s="22">
        <v>650</v>
      </c>
      <c r="B700" s="26" t="s">
        <v>1533</v>
      </c>
      <c r="C700" s="26" t="s">
        <v>1316</v>
      </c>
      <c r="D700" s="130">
        <v>1300</v>
      </c>
      <c r="E700" s="51">
        <v>1800</v>
      </c>
      <c r="F700" s="27">
        <v>1</v>
      </c>
      <c r="G700" s="41">
        <f>InventoryList[[#This Row],[NLC (NET LANDING COST]]*InventoryList[[#This Row],[Quantity in stock]]</f>
        <v>1300</v>
      </c>
      <c r="H700" s="62"/>
      <c r="I700" s="22"/>
    </row>
    <row r="701" spans="1:9" ht="30" customHeight="1">
      <c r="A701" s="22">
        <v>651</v>
      </c>
      <c r="B701" s="26" t="s">
        <v>1534</v>
      </c>
      <c r="C701" s="26" t="s">
        <v>1317</v>
      </c>
      <c r="D701" s="130">
        <v>1450</v>
      </c>
      <c r="E701" s="51">
        <v>2000</v>
      </c>
      <c r="F701" s="27">
        <v>2</v>
      </c>
      <c r="G701" s="41">
        <f>InventoryList[[#This Row],[NLC (NET LANDING COST]]*InventoryList[[#This Row],[Quantity in stock]]</f>
        <v>2900</v>
      </c>
      <c r="H701" s="62"/>
      <c r="I701" s="22"/>
    </row>
    <row r="702" spans="1:9" ht="30" customHeight="1">
      <c r="A702" s="22">
        <v>652</v>
      </c>
      <c r="B702" s="26" t="s">
        <v>1535</v>
      </c>
      <c r="C702" s="26" t="s">
        <v>1318</v>
      </c>
      <c r="D702" s="130">
        <v>1450</v>
      </c>
      <c r="E702" s="51">
        <v>2000</v>
      </c>
      <c r="F702" s="27">
        <v>2</v>
      </c>
      <c r="G702" s="41">
        <f>InventoryList[[#This Row],[NLC (NET LANDING COST]]*InventoryList[[#This Row],[Quantity in stock]]</f>
        <v>2900</v>
      </c>
      <c r="H702" s="62"/>
      <c r="I702" s="22"/>
    </row>
    <row r="703" spans="1:9" ht="30" customHeight="1">
      <c r="A703" s="22">
        <v>653</v>
      </c>
      <c r="B703" s="26" t="s">
        <v>1536</v>
      </c>
      <c r="C703" s="26" t="s">
        <v>1319</v>
      </c>
      <c r="D703" s="130">
        <v>2100</v>
      </c>
      <c r="E703" s="51">
        <v>2600</v>
      </c>
      <c r="F703" s="27">
        <v>2</v>
      </c>
      <c r="G703" s="41">
        <f>InventoryList[[#This Row],[NLC (NET LANDING COST]]*InventoryList[[#This Row],[Quantity in stock]]</f>
        <v>4200</v>
      </c>
      <c r="H703" s="62"/>
      <c r="I703" s="22"/>
    </row>
    <row r="704" spans="1:9" ht="30" customHeight="1">
      <c r="A704" s="22">
        <v>654</v>
      </c>
      <c r="B704" s="26" t="s">
        <v>1537</v>
      </c>
      <c r="C704" s="26" t="s">
        <v>1320</v>
      </c>
      <c r="D704" s="130">
        <v>950</v>
      </c>
      <c r="E704" s="51">
        <v>1500</v>
      </c>
      <c r="F704" s="27">
        <v>2</v>
      </c>
      <c r="G704" s="41">
        <f>InventoryList[[#This Row],[NLC (NET LANDING COST]]*InventoryList[[#This Row],[Quantity in stock]]</f>
        <v>1900</v>
      </c>
      <c r="H704" s="62"/>
      <c r="I704" s="22"/>
    </row>
    <row r="705" spans="1:9" ht="30" customHeight="1">
      <c r="A705" s="22">
        <v>655</v>
      </c>
      <c r="B705" s="26" t="s">
        <v>1538</v>
      </c>
      <c r="C705" s="26" t="s">
        <v>1321</v>
      </c>
      <c r="D705" s="130">
        <v>1450</v>
      </c>
      <c r="E705" s="51">
        <v>2000</v>
      </c>
      <c r="F705" s="27">
        <v>1</v>
      </c>
      <c r="G705" s="41">
        <f>InventoryList[[#This Row],[NLC (NET LANDING COST]]*InventoryList[[#This Row],[Quantity in stock]]</f>
        <v>1450</v>
      </c>
      <c r="H705" s="62"/>
      <c r="I705" s="22"/>
    </row>
    <row r="706" spans="1:9" ht="30" customHeight="1">
      <c r="A706" s="22">
        <v>656</v>
      </c>
      <c r="B706" s="26" t="s">
        <v>1539</v>
      </c>
      <c r="C706" s="26" t="s">
        <v>1322</v>
      </c>
      <c r="D706" s="130">
        <v>1600</v>
      </c>
      <c r="E706" s="51">
        <v>2100</v>
      </c>
      <c r="F706" s="27">
        <v>1</v>
      </c>
      <c r="G706" s="41">
        <f>InventoryList[[#This Row],[NLC (NET LANDING COST]]*InventoryList[[#This Row],[Quantity in stock]]</f>
        <v>1600</v>
      </c>
      <c r="H706" s="62"/>
      <c r="I706" s="22"/>
    </row>
    <row r="707" spans="1:9" ht="30" customHeight="1">
      <c r="A707" s="22">
        <v>657</v>
      </c>
      <c r="B707" s="26" t="s">
        <v>1540</v>
      </c>
      <c r="C707" s="26" t="s">
        <v>1323</v>
      </c>
      <c r="D707" s="130">
        <v>950</v>
      </c>
      <c r="E707" s="51">
        <v>1500</v>
      </c>
      <c r="F707" s="27">
        <v>2</v>
      </c>
      <c r="G707" s="41">
        <f>InventoryList[[#This Row],[NLC (NET LANDING COST]]*InventoryList[[#This Row],[Quantity in stock]]</f>
        <v>1900</v>
      </c>
      <c r="H707" s="62"/>
      <c r="I707" s="22"/>
    </row>
    <row r="708" spans="1:9" ht="30" customHeight="1">
      <c r="A708" s="22">
        <v>658</v>
      </c>
      <c r="B708" s="26" t="s">
        <v>1541</v>
      </c>
      <c r="C708" s="26" t="s">
        <v>1324</v>
      </c>
      <c r="D708" s="130">
        <v>3500</v>
      </c>
      <c r="E708" s="51">
        <v>4200</v>
      </c>
      <c r="F708" s="27">
        <v>2</v>
      </c>
      <c r="G708" s="41">
        <f>InventoryList[[#This Row],[NLC (NET LANDING COST]]*InventoryList[[#This Row],[Quantity in stock]]</f>
        <v>7000</v>
      </c>
      <c r="H708" s="62"/>
      <c r="I708" s="22"/>
    </row>
    <row r="709" spans="1:9" ht="30" customHeight="1">
      <c r="A709" s="22">
        <v>659</v>
      </c>
      <c r="B709" s="26" t="s">
        <v>1542</v>
      </c>
      <c r="C709" s="26" t="s">
        <v>1325</v>
      </c>
      <c r="D709" s="130">
        <v>3500</v>
      </c>
      <c r="E709" s="51">
        <v>4200</v>
      </c>
      <c r="F709" s="27">
        <v>2</v>
      </c>
      <c r="G709" s="41">
        <f>InventoryList[[#This Row],[NLC (NET LANDING COST]]*InventoryList[[#This Row],[Quantity in stock]]</f>
        <v>7000</v>
      </c>
      <c r="H709" s="62"/>
      <c r="I709" s="22"/>
    </row>
    <row r="710" spans="1:9" ht="30" customHeight="1">
      <c r="A710" s="22">
        <v>660</v>
      </c>
      <c r="B710" s="26" t="s">
        <v>1543</v>
      </c>
      <c r="C710" s="26" t="s">
        <v>1326</v>
      </c>
      <c r="D710" s="130">
        <v>3000</v>
      </c>
      <c r="E710" s="51">
        <v>3500</v>
      </c>
      <c r="F710" s="27">
        <v>2</v>
      </c>
      <c r="G710" s="41">
        <f>InventoryList[[#This Row],[NLC (NET LANDING COST]]*InventoryList[[#This Row],[Quantity in stock]]</f>
        <v>6000</v>
      </c>
      <c r="H710" s="62"/>
      <c r="I710" s="22"/>
    </row>
    <row r="711" spans="1:9" ht="30" customHeight="1">
      <c r="A711" s="22">
        <v>661</v>
      </c>
      <c r="B711" s="26" t="s">
        <v>1544</v>
      </c>
      <c r="C711" s="26" t="s">
        <v>1327</v>
      </c>
      <c r="D711" s="130">
        <v>1300</v>
      </c>
      <c r="E711" s="51">
        <v>1800</v>
      </c>
      <c r="F711" s="27">
        <v>2</v>
      </c>
      <c r="G711" s="41">
        <f>InventoryList[[#This Row],[NLC (NET LANDING COST]]*InventoryList[[#This Row],[Quantity in stock]]</f>
        <v>2600</v>
      </c>
      <c r="H711" s="62"/>
      <c r="I711" s="22"/>
    </row>
    <row r="712" spans="1:9" ht="30" customHeight="1">
      <c r="A712" s="22">
        <v>662</v>
      </c>
      <c r="B712" s="26" t="s">
        <v>1545</v>
      </c>
      <c r="C712" s="26" t="s">
        <v>1328</v>
      </c>
      <c r="D712" s="130">
        <v>1400</v>
      </c>
      <c r="E712" s="51">
        <v>1900</v>
      </c>
      <c r="F712" s="27">
        <v>2</v>
      </c>
      <c r="G712" s="41">
        <f>InventoryList[[#This Row],[NLC (NET LANDING COST]]*InventoryList[[#This Row],[Quantity in stock]]</f>
        <v>2800</v>
      </c>
      <c r="H712" s="62"/>
      <c r="I712" s="22"/>
    </row>
    <row r="713" spans="1:9" ht="30" customHeight="1">
      <c r="A713" s="22">
        <v>663</v>
      </c>
      <c r="B713" s="26" t="s">
        <v>1546</v>
      </c>
      <c r="C713" s="26" t="s">
        <v>1329</v>
      </c>
      <c r="D713" s="130">
        <v>1600</v>
      </c>
      <c r="E713" s="51">
        <v>2100</v>
      </c>
      <c r="F713" s="27">
        <v>2</v>
      </c>
      <c r="G713" s="41">
        <f>InventoryList[[#This Row],[NLC (NET LANDING COST]]*InventoryList[[#This Row],[Quantity in stock]]</f>
        <v>3200</v>
      </c>
      <c r="H713" s="62"/>
      <c r="I713" s="22"/>
    </row>
    <row r="714" spans="1:9" ht="30" customHeight="1">
      <c r="A714" s="22">
        <v>664</v>
      </c>
      <c r="B714" s="26" t="s">
        <v>1547</v>
      </c>
      <c r="C714" s="26" t="s">
        <v>1608</v>
      </c>
      <c r="D714" s="130">
        <v>1100</v>
      </c>
      <c r="E714" s="51">
        <v>1600</v>
      </c>
      <c r="F714" s="27">
        <v>2</v>
      </c>
      <c r="G714" s="41">
        <f>InventoryList[[#This Row],[NLC (NET LANDING COST]]*InventoryList[[#This Row],[Quantity in stock]]</f>
        <v>2200</v>
      </c>
      <c r="H714" s="62"/>
      <c r="I714" s="22"/>
    </row>
    <row r="715" spans="1:9" ht="30" customHeight="1">
      <c r="A715" s="22">
        <v>665</v>
      </c>
      <c r="B715" s="26" t="s">
        <v>1548</v>
      </c>
      <c r="C715" s="26" t="s">
        <v>1609</v>
      </c>
      <c r="D715" s="130">
        <v>1050</v>
      </c>
      <c r="E715" s="51">
        <v>1600</v>
      </c>
      <c r="F715" s="27">
        <v>2</v>
      </c>
      <c r="G715" s="41">
        <f>InventoryList[[#This Row],[NLC (NET LANDING COST]]*InventoryList[[#This Row],[Quantity in stock]]</f>
        <v>2100</v>
      </c>
      <c r="H715" s="62"/>
      <c r="I715" s="22"/>
    </row>
    <row r="716" spans="1:9" ht="30" customHeight="1">
      <c r="A716" s="22">
        <v>666</v>
      </c>
      <c r="B716" s="26" t="s">
        <v>1549</v>
      </c>
      <c r="C716" s="26" t="s">
        <v>1342</v>
      </c>
      <c r="D716" s="130">
        <v>1050</v>
      </c>
      <c r="E716" s="51">
        <v>1600</v>
      </c>
      <c r="F716" s="27">
        <v>2</v>
      </c>
      <c r="G716" s="41">
        <f>InventoryList[[#This Row],[NLC (NET LANDING COST]]*InventoryList[[#This Row],[Quantity in stock]]</f>
        <v>2100</v>
      </c>
      <c r="H716" s="62"/>
      <c r="I716" s="22"/>
    </row>
    <row r="717" spans="1:9" ht="30" customHeight="1">
      <c r="A717" s="22">
        <v>667</v>
      </c>
      <c r="B717" s="26" t="s">
        <v>1550</v>
      </c>
      <c r="C717" s="26" t="s">
        <v>1341</v>
      </c>
      <c r="D717" s="130">
        <v>1050</v>
      </c>
      <c r="E717" s="51">
        <v>1600</v>
      </c>
      <c r="F717" s="27">
        <v>2</v>
      </c>
      <c r="G717" s="41">
        <f>InventoryList[[#This Row],[NLC (NET LANDING COST]]*InventoryList[[#This Row],[Quantity in stock]]</f>
        <v>2100</v>
      </c>
      <c r="H717" s="62"/>
      <c r="I717" s="22"/>
    </row>
    <row r="718" spans="1:9" ht="30" customHeight="1">
      <c r="A718" s="22">
        <v>668</v>
      </c>
      <c r="B718" s="26" t="s">
        <v>1551</v>
      </c>
      <c r="C718" s="26" t="s">
        <v>1330</v>
      </c>
      <c r="D718" s="130">
        <v>1450</v>
      </c>
      <c r="E718" s="51">
        <v>2000</v>
      </c>
      <c r="F718" s="27">
        <v>2</v>
      </c>
      <c r="G718" s="41">
        <f>InventoryList[[#This Row],[NLC (NET LANDING COST]]*InventoryList[[#This Row],[Quantity in stock]]</f>
        <v>2900</v>
      </c>
      <c r="H718" s="62"/>
      <c r="I718" s="22"/>
    </row>
    <row r="719" spans="1:9" ht="30" customHeight="1">
      <c r="A719" s="22">
        <v>669</v>
      </c>
      <c r="B719" s="26" t="s">
        <v>1552</v>
      </c>
      <c r="C719" s="26" t="s">
        <v>1334</v>
      </c>
      <c r="D719" s="130">
        <v>1700</v>
      </c>
      <c r="E719" s="51">
        <v>2200</v>
      </c>
      <c r="F719" s="27">
        <v>2</v>
      </c>
      <c r="G719" s="41">
        <f>InventoryList[[#This Row],[NLC (NET LANDING COST]]*InventoryList[[#This Row],[Quantity in stock]]</f>
        <v>3400</v>
      </c>
      <c r="H719" s="62"/>
      <c r="I719" s="22"/>
    </row>
    <row r="720" spans="1:9" ht="30" customHeight="1">
      <c r="A720" s="22">
        <v>670</v>
      </c>
      <c r="B720" s="26" t="s">
        <v>1553</v>
      </c>
      <c r="C720" s="26" t="s">
        <v>1331</v>
      </c>
      <c r="D720" s="130">
        <v>1750</v>
      </c>
      <c r="E720" s="51">
        <v>2300</v>
      </c>
      <c r="F720" s="27">
        <v>2</v>
      </c>
      <c r="G720" s="41">
        <f>InventoryList[[#This Row],[NLC (NET LANDING COST]]*InventoryList[[#This Row],[Quantity in stock]]</f>
        <v>3500</v>
      </c>
      <c r="H720" s="62"/>
      <c r="I720" s="22"/>
    </row>
    <row r="721" spans="1:9" ht="30" customHeight="1">
      <c r="A721" s="22">
        <v>671</v>
      </c>
      <c r="B721" s="26" t="s">
        <v>1554</v>
      </c>
      <c r="C721" s="26" t="s">
        <v>1332</v>
      </c>
      <c r="D721" s="130">
        <v>1750</v>
      </c>
      <c r="E721" s="51">
        <v>2300</v>
      </c>
      <c r="F721" s="27">
        <v>2</v>
      </c>
      <c r="G721" s="41">
        <f>InventoryList[[#This Row],[NLC (NET LANDING COST]]*InventoryList[[#This Row],[Quantity in stock]]</f>
        <v>3500</v>
      </c>
      <c r="H721" s="62"/>
      <c r="I721" s="22"/>
    </row>
    <row r="722" spans="1:9" ht="30" customHeight="1">
      <c r="A722" s="22">
        <v>672</v>
      </c>
      <c r="B722" s="26" t="s">
        <v>1555</v>
      </c>
      <c r="C722" s="26" t="s">
        <v>1333</v>
      </c>
      <c r="D722" s="130">
        <v>1900</v>
      </c>
      <c r="E722" s="51">
        <v>2400</v>
      </c>
      <c r="F722" s="27">
        <v>2</v>
      </c>
      <c r="G722" s="41">
        <f>InventoryList[[#This Row],[NLC (NET LANDING COST]]*InventoryList[[#This Row],[Quantity in stock]]</f>
        <v>3800</v>
      </c>
      <c r="H722" s="62"/>
      <c r="I722" s="22"/>
    </row>
    <row r="723" spans="1:9" ht="30" customHeight="1">
      <c r="A723" s="22">
        <v>673</v>
      </c>
      <c r="B723" s="26" t="s">
        <v>1556</v>
      </c>
      <c r="C723" s="26" t="s">
        <v>1335</v>
      </c>
      <c r="D723" s="130">
        <v>950</v>
      </c>
      <c r="E723" s="51">
        <v>1500</v>
      </c>
      <c r="F723" s="27">
        <v>2</v>
      </c>
      <c r="G723" s="41">
        <f>InventoryList[[#This Row],[NLC (NET LANDING COST]]*InventoryList[[#This Row],[Quantity in stock]]</f>
        <v>1900</v>
      </c>
      <c r="H723" s="62"/>
      <c r="I723" s="22"/>
    </row>
    <row r="724" spans="1:9" ht="30" customHeight="1">
      <c r="A724" s="22">
        <v>674</v>
      </c>
      <c r="B724" s="26" t="s">
        <v>1557</v>
      </c>
      <c r="C724" s="26" t="s">
        <v>1336</v>
      </c>
      <c r="D724" s="130">
        <v>950</v>
      </c>
      <c r="E724" s="51">
        <v>1500</v>
      </c>
      <c r="F724" s="27">
        <v>2</v>
      </c>
      <c r="G724" s="41">
        <f>InventoryList[[#This Row],[NLC (NET LANDING COST]]*InventoryList[[#This Row],[Quantity in stock]]</f>
        <v>1900</v>
      </c>
      <c r="H724" s="62"/>
      <c r="I724" s="22"/>
    </row>
    <row r="725" spans="1:9" ht="30" customHeight="1">
      <c r="A725" s="22">
        <v>675</v>
      </c>
      <c r="B725" s="26" t="s">
        <v>1558</v>
      </c>
      <c r="C725" s="26" t="s">
        <v>1337</v>
      </c>
      <c r="D725" s="130">
        <v>1450</v>
      </c>
      <c r="E725" s="51">
        <v>2000</v>
      </c>
      <c r="F725" s="27">
        <v>2</v>
      </c>
      <c r="G725" s="41">
        <f>InventoryList[[#This Row],[NLC (NET LANDING COST]]*InventoryList[[#This Row],[Quantity in stock]]</f>
        <v>2900</v>
      </c>
      <c r="H725" s="62"/>
      <c r="I725" s="22"/>
    </row>
    <row r="726" spans="1:9" ht="30" customHeight="1">
      <c r="A726" s="22">
        <v>676</v>
      </c>
      <c r="B726" s="26" t="s">
        <v>1559</v>
      </c>
      <c r="C726" s="26" t="s">
        <v>1338</v>
      </c>
      <c r="D726" s="130">
        <v>1200</v>
      </c>
      <c r="E726" s="51">
        <v>1700</v>
      </c>
      <c r="F726" s="27">
        <v>2</v>
      </c>
      <c r="G726" s="41">
        <f>InventoryList[[#This Row],[NLC (NET LANDING COST]]*InventoryList[[#This Row],[Quantity in stock]]</f>
        <v>2400</v>
      </c>
      <c r="H726" s="62"/>
      <c r="I726" s="22"/>
    </row>
    <row r="727" spans="1:9" ht="30" customHeight="1">
      <c r="A727" s="22">
        <v>677</v>
      </c>
      <c r="B727" s="26" t="s">
        <v>1560</v>
      </c>
      <c r="C727" s="26" t="s">
        <v>1339</v>
      </c>
      <c r="D727" s="130">
        <v>1200</v>
      </c>
      <c r="E727" s="51">
        <v>1700</v>
      </c>
      <c r="F727" s="27">
        <v>2</v>
      </c>
      <c r="G727" s="41">
        <f>InventoryList[[#This Row],[NLC (NET LANDING COST]]*InventoryList[[#This Row],[Quantity in stock]]</f>
        <v>2400</v>
      </c>
      <c r="H727" s="62"/>
      <c r="I727" s="22"/>
    </row>
    <row r="728" spans="1:9" ht="30" customHeight="1">
      <c r="A728" s="22">
        <v>678</v>
      </c>
      <c r="B728" s="26" t="s">
        <v>1561</v>
      </c>
      <c r="C728" s="26" t="s">
        <v>1340</v>
      </c>
      <c r="D728" s="130">
        <v>1000</v>
      </c>
      <c r="E728" s="51">
        <v>1500</v>
      </c>
      <c r="F728" s="27">
        <v>2</v>
      </c>
      <c r="G728" s="41">
        <f>InventoryList[[#This Row],[NLC (NET LANDING COST]]*InventoryList[[#This Row],[Quantity in stock]]</f>
        <v>2000</v>
      </c>
      <c r="H728" s="62"/>
      <c r="I728" s="22"/>
    </row>
    <row r="729" spans="1:9" ht="30" customHeight="1">
      <c r="A729" s="28" t="s">
        <v>51</v>
      </c>
      <c r="B729" s="29">
        <v>7110</v>
      </c>
      <c r="C729" s="29" t="s">
        <v>525</v>
      </c>
      <c r="D729" s="130" t="s">
        <v>120</v>
      </c>
      <c r="E729" s="43"/>
      <c r="F729" s="40"/>
      <c r="G729" s="97"/>
      <c r="H729" s="67">
        <v>128550</v>
      </c>
      <c r="I729" s="22"/>
    </row>
    <row r="730" spans="1:9" ht="24.95" customHeight="1">
      <c r="A730" s="101"/>
      <c r="B730" s="102"/>
      <c r="C730" s="102"/>
      <c r="D730" s="130"/>
      <c r="E730" s="104"/>
      <c r="F730" s="103"/>
      <c r="G730" s="105">
        <f>InventoryList[[#This Row],[NLC (NET LANDING COST]]*InventoryList[[#This Row],[Quantity in stock]]</f>
        <v>0</v>
      </c>
      <c r="H730" s="106"/>
      <c r="I730" s="22"/>
    </row>
    <row r="731" spans="1:9" ht="39" customHeight="1">
      <c r="A731" s="28" t="s">
        <v>51</v>
      </c>
      <c r="B731" s="29">
        <v>11903</v>
      </c>
      <c r="C731" s="29" t="s">
        <v>525</v>
      </c>
      <c r="D731" s="130">
        <v>28880</v>
      </c>
      <c r="E731" s="107" t="s">
        <v>1361</v>
      </c>
      <c r="F731" s="40"/>
      <c r="G731" s="97"/>
      <c r="H731" s="67"/>
      <c r="I731" s="22"/>
    </row>
    <row r="732" spans="1:9" ht="30" customHeight="1">
      <c r="A732" s="22">
        <v>680</v>
      </c>
      <c r="B732" s="26" t="s">
        <v>1360</v>
      </c>
      <c r="C732" s="26" t="s">
        <v>1595</v>
      </c>
      <c r="D732" s="130">
        <v>680</v>
      </c>
      <c r="E732" s="51">
        <v>1100</v>
      </c>
      <c r="F732" s="27">
        <v>2</v>
      </c>
      <c r="G732" s="41">
        <f>InventoryList[[#This Row],[NLC (NET LANDING COST]]*InventoryList[[#This Row],[Quantity in stock]]</f>
        <v>1360</v>
      </c>
      <c r="H732" s="62"/>
      <c r="I732" s="22"/>
    </row>
    <row r="733" spans="1:9" ht="30" customHeight="1">
      <c r="A733" s="22">
        <v>681</v>
      </c>
      <c r="B733" s="26" t="s">
        <v>1343</v>
      </c>
      <c r="C733" s="26" t="s">
        <v>1596</v>
      </c>
      <c r="D733" s="130">
        <v>680</v>
      </c>
      <c r="E733" s="51">
        <v>1100</v>
      </c>
      <c r="F733" s="27">
        <v>2</v>
      </c>
      <c r="G733" s="41">
        <f>InventoryList[[#This Row],[NLC (NET LANDING COST]]*InventoryList[[#This Row],[Quantity in stock]]</f>
        <v>1360</v>
      </c>
      <c r="H733" s="62"/>
      <c r="I733" s="22"/>
    </row>
    <row r="734" spans="1:9" ht="30" customHeight="1">
      <c r="A734" s="22">
        <v>682</v>
      </c>
      <c r="B734" s="26" t="s">
        <v>1344</v>
      </c>
      <c r="C734" s="26" t="s">
        <v>1581</v>
      </c>
      <c r="D734" s="130">
        <v>680</v>
      </c>
      <c r="E734" s="51">
        <v>1100</v>
      </c>
      <c r="F734" s="27">
        <v>2</v>
      </c>
      <c r="G734" s="41">
        <f>InventoryList[[#This Row],[NLC (NET LANDING COST]]*InventoryList[[#This Row],[Quantity in stock]]</f>
        <v>1360</v>
      </c>
      <c r="H734" s="62"/>
      <c r="I734" s="22"/>
    </row>
    <row r="735" spans="1:9" ht="30" customHeight="1">
      <c r="A735" s="22">
        <v>683</v>
      </c>
      <c r="B735" s="26" t="s">
        <v>1345</v>
      </c>
      <c r="C735" s="26" t="s">
        <v>1597</v>
      </c>
      <c r="D735" s="130">
        <v>720</v>
      </c>
      <c r="E735" s="51">
        <v>1200</v>
      </c>
      <c r="F735" s="27">
        <v>2</v>
      </c>
      <c r="G735" s="41">
        <f>InventoryList[[#This Row],[NLC (NET LANDING COST]]*InventoryList[[#This Row],[Quantity in stock]]</f>
        <v>1440</v>
      </c>
      <c r="H735" s="62"/>
      <c r="I735" s="22"/>
    </row>
    <row r="736" spans="1:9" ht="30" customHeight="1">
      <c r="A736" s="22">
        <v>684</v>
      </c>
      <c r="B736" s="26" t="s">
        <v>1346</v>
      </c>
      <c r="C736" s="26" t="s">
        <v>1598</v>
      </c>
      <c r="D736" s="130">
        <v>680</v>
      </c>
      <c r="E736" s="51">
        <v>1100</v>
      </c>
      <c r="F736" s="27">
        <v>2</v>
      </c>
      <c r="G736" s="41">
        <f>InventoryList[[#This Row],[NLC (NET LANDING COST]]*InventoryList[[#This Row],[Quantity in stock]]</f>
        <v>1360</v>
      </c>
      <c r="H736" s="62"/>
      <c r="I736" s="22"/>
    </row>
    <row r="737" spans="1:10" ht="30" customHeight="1">
      <c r="A737" s="22">
        <v>685</v>
      </c>
      <c r="B737" s="26" t="s">
        <v>1347</v>
      </c>
      <c r="C737" s="26" t="s">
        <v>1599</v>
      </c>
      <c r="D737" s="130">
        <v>1600</v>
      </c>
      <c r="E737" s="51">
        <v>2100</v>
      </c>
      <c r="F737" s="27">
        <v>1</v>
      </c>
      <c r="G737" s="41">
        <f>InventoryList[[#This Row],[NLC (NET LANDING COST]]*InventoryList[[#This Row],[Quantity in stock]]</f>
        <v>1600</v>
      </c>
      <c r="H737" s="62"/>
      <c r="I737" s="22"/>
    </row>
    <row r="738" spans="1:10" ht="30" customHeight="1">
      <c r="A738" s="22">
        <v>686</v>
      </c>
      <c r="B738" s="26" t="s">
        <v>1348</v>
      </c>
      <c r="C738" s="26" t="s">
        <v>1600</v>
      </c>
      <c r="D738" s="130">
        <v>1500</v>
      </c>
      <c r="E738" s="51">
        <v>2000</v>
      </c>
      <c r="F738" s="27">
        <v>1</v>
      </c>
      <c r="G738" s="41">
        <f>InventoryList[[#This Row],[NLC (NET LANDING COST]]*InventoryList[[#This Row],[Quantity in stock]]</f>
        <v>1500</v>
      </c>
      <c r="H738" s="62"/>
      <c r="I738" s="22"/>
    </row>
    <row r="739" spans="1:10" ht="30" customHeight="1">
      <c r="A739" s="22">
        <v>687</v>
      </c>
      <c r="B739" s="26" t="s">
        <v>1349</v>
      </c>
      <c r="C739" s="26" t="s">
        <v>1601</v>
      </c>
      <c r="D739" s="130">
        <v>1500</v>
      </c>
      <c r="E739" s="51">
        <v>2000</v>
      </c>
      <c r="F739" s="27">
        <v>1</v>
      </c>
      <c r="G739" s="41">
        <f>InventoryList[[#This Row],[NLC (NET LANDING COST]]*InventoryList[[#This Row],[Quantity in stock]]</f>
        <v>1500</v>
      </c>
      <c r="H739" s="62"/>
      <c r="I739" s="22"/>
    </row>
    <row r="740" spans="1:10" ht="30" customHeight="1">
      <c r="A740" s="22">
        <v>688</v>
      </c>
      <c r="B740" s="26" t="s">
        <v>1350</v>
      </c>
      <c r="C740" s="26" t="s">
        <v>1602</v>
      </c>
      <c r="D740" s="130">
        <v>1500</v>
      </c>
      <c r="E740" s="51">
        <v>2000</v>
      </c>
      <c r="F740" s="27">
        <v>1</v>
      </c>
      <c r="G740" s="41">
        <f>InventoryList[[#This Row],[NLC (NET LANDING COST]]*InventoryList[[#This Row],[Quantity in stock]]</f>
        <v>1500</v>
      </c>
      <c r="H740" s="62"/>
      <c r="I740" s="22"/>
    </row>
    <row r="741" spans="1:10" ht="30" customHeight="1">
      <c r="A741" s="22">
        <v>689</v>
      </c>
      <c r="B741" s="26" t="s">
        <v>1351</v>
      </c>
      <c r="C741" s="26" t="s">
        <v>1603</v>
      </c>
      <c r="D741" s="130">
        <v>1500</v>
      </c>
      <c r="E741" s="51">
        <v>2000</v>
      </c>
      <c r="F741" s="27">
        <v>1</v>
      </c>
      <c r="G741" s="41">
        <f>InventoryList[[#This Row],[NLC (NET LANDING COST]]*InventoryList[[#This Row],[Quantity in stock]]</f>
        <v>1500</v>
      </c>
      <c r="H741" s="62"/>
      <c r="I741" s="22"/>
    </row>
    <row r="742" spans="1:10" ht="30" customHeight="1">
      <c r="A742" s="22">
        <v>690</v>
      </c>
      <c r="B742" s="26" t="s">
        <v>1352</v>
      </c>
      <c r="C742" s="26" t="s">
        <v>1604</v>
      </c>
      <c r="D742" s="130">
        <v>2200</v>
      </c>
      <c r="E742" s="51">
        <v>2700</v>
      </c>
      <c r="F742" s="27">
        <v>1</v>
      </c>
      <c r="G742" s="41">
        <f>InventoryList[[#This Row],[NLC (NET LANDING COST]]*InventoryList[[#This Row],[Quantity in stock]]</f>
        <v>2200</v>
      </c>
      <c r="H742" s="62"/>
      <c r="I742" s="22"/>
    </row>
    <row r="743" spans="1:10" ht="30" customHeight="1">
      <c r="A743" s="22">
        <v>691</v>
      </c>
      <c r="B743" s="26" t="s">
        <v>1353</v>
      </c>
      <c r="C743" s="26" t="s">
        <v>1605</v>
      </c>
      <c r="D743" s="130">
        <v>1550</v>
      </c>
      <c r="E743" s="51">
        <v>2100</v>
      </c>
      <c r="F743" s="27">
        <v>2</v>
      </c>
      <c r="G743" s="41">
        <f>InventoryList[[#This Row],[NLC (NET LANDING COST]]*InventoryList[[#This Row],[Quantity in stock]]</f>
        <v>3100</v>
      </c>
      <c r="H743" s="62"/>
      <c r="I743" s="22"/>
    </row>
    <row r="744" spans="1:10" ht="30" customHeight="1">
      <c r="A744" s="22">
        <v>692</v>
      </c>
      <c r="B744" s="26" t="s">
        <v>1354</v>
      </c>
      <c r="C744" s="26" t="s">
        <v>1606</v>
      </c>
      <c r="D744" s="130">
        <v>1500</v>
      </c>
      <c r="E744" s="51">
        <v>2000</v>
      </c>
      <c r="F744" s="27">
        <v>2</v>
      </c>
      <c r="G744" s="41">
        <f>InventoryList[[#This Row],[NLC (NET LANDING COST]]*InventoryList[[#This Row],[Quantity in stock]]</f>
        <v>3000</v>
      </c>
      <c r="H744" s="62"/>
      <c r="I744" s="22"/>
    </row>
    <row r="745" spans="1:10" ht="30" customHeight="1">
      <c r="A745" s="22">
        <v>693</v>
      </c>
      <c r="B745" s="26" t="s">
        <v>1355</v>
      </c>
      <c r="C745" s="26" t="s">
        <v>1594</v>
      </c>
      <c r="D745" s="130">
        <v>1050</v>
      </c>
      <c r="E745" s="51">
        <v>1550</v>
      </c>
      <c r="F745" s="27">
        <v>2</v>
      </c>
      <c r="G745" s="41">
        <f>InventoryList[[#This Row],[NLC (NET LANDING COST]]*InventoryList[[#This Row],[Quantity in stock]]</f>
        <v>2100</v>
      </c>
      <c r="H745" s="62"/>
      <c r="I745" s="22"/>
    </row>
    <row r="746" spans="1:10" ht="30" customHeight="1">
      <c r="A746" s="22">
        <v>694</v>
      </c>
      <c r="B746" s="26" t="s">
        <v>1356</v>
      </c>
      <c r="C746" s="26" t="s">
        <v>1593</v>
      </c>
      <c r="D746" s="130">
        <v>1050</v>
      </c>
      <c r="E746" s="51">
        <v>1550</v>
      </c>
      <c r="F746" s="27">
        <v>1</v>
      </c>
      <c r="G746" s="41">
        <f>InventoryList[[#This Row],[NLC (NET LANDING COST]]*InventoryList[[#This Row],[Quantity in stock]]</f>
        <v>1050</v>
      </c>
      <c r="H746" s="62"/>
      <c r="I746" s="22"/>
    </row>
    <row r="747" spans="1:10" ht="30" customHeight="1">
      <c r="A747" s="22">
        <v>695</v>
      </c>
      <c r="B747" s="26" t="s">
        <v>1357</v>
      </c>
      <c r="C747" s="26" t="s">
        <v>1592</v>
      </c>
      <c r="D747" s="130">
        <v>1050</v>
      </c>
      <c r="E747" s="51">
        <v>1550</v>
      </c>
      <c r="F747" s="27">
        <v>1</v>
      </c>
      <c r="G747" s="41">
        <f>InventoryList[[#This Row],[NLC (NET LANDING COST]]*InventoryList[[#This Row],[Quantity in stock]]</f>
        <v>1050</v>
      </c>
      <c r="H747" s="62"/>
      <c r="I747" s="22"/>
    </row>
    <row r="748" spans="1:10" ht="30" customHeight="1">
      <c r="A748" s="22">
        <v>696</v>
      </c>
      <c r="B748" s="26" t="s">
        <v>1358</v>
      </c>
      <c r="C748" s="26" t="s">
        <v>1591</v>
      </c>
      <c r="D748" s="130">
        <v>950</v>
      </c>
      <c r="E748" s="51">
        <v>1450</v>
      </c>
      <c r="F748" s="27">
        <v>1</v>
      </c>
      <c r="G748" s="41">
        <f>InventoryList[[#This Row],[NLC (NET LANDING COST]]*InventoryList[[#This Row],[Quantity in stock]]</f>
        <v>950</v>
      </c>
      <c r="H748" s="62"/>
      <c r="I748" s="22"/>
    </row>
    <row r="749" spans="1:10" ht="30" customHeight="1" thickBot="1">
      <c r="A749" s="22">
        <v>697</v>
      </c>
      <c r="B749" s="26" t="s">
        <v>1359</v>
      </c>
      <c r="C749" s="26" t="s">
        <v>1590</v>
      </c>
      <c r="D749" s="130">
        <v>950</v>
      </c>
      <c r="E749" s="51">
        <v>1450</v>
      </c>
      <c r="F749" s="27">
        <v>1</v>
      </c>
      <c r="G749" s="41">
        <f>InventoryList[[#This Row],[NLC (NET LANDING COST]]*InventoryList[[#This Row],[Quantity in stock]]</f>
        <v>950</v>
      </c>
      <c r="H749" s="62"/>
      <c r="I749" s="22"/>
    </row>
    <row r="750" spans="1:10" ht="17.100000000000001" customHeight="1" thickTop="1" thickBot="1">
      <c r="A750" s="116" t="s">
        <v>51</v>
      </c>
      <c r="B750" s="117">
        <v>11903</v>
      </c>
      <c r="C750" s="118" t="s">
        <v>525</v>
      </c>
      <c r="D750" s="135" t="s">
        <v>1362</v>
      </c>
      <c r="E750" s="120" t="s">
        <v>1361</v>
      </c>
      <c r="F750" s="119"/>
      <c r="G750" s="121"/>
      <c r="H750" s="122"/>
      <c r="I750" s="114"/>
      <c r="J750" s="115"/>
    </row>
    <row r="751" spans="1:10" ht="29.1" customHeight="1" thickTop="1">
      <c r="A751" s="28" t="s">
        <v>51</v>
      </c>
      <c r="B751" s="29">
        <v>11904</v>
      </c>
      <c r="C751" s="29" t="s">
        <v>525</v>
      </c>
      <c r="D751" s="130">
        <v>21480</v>
      </c>
      <c r="E751" s="107" t="s">
        <v>1361</v>
      </c>
      <c r="F751" s="40"/>
      <c r="G751" s="97"/>
      <c r="H751" s="67"/>
      <c r="I751" s="123"/>
      <c r="J751" s="115"/>
    </row>
    <row r="752" spans="1:10" ht="30" customHeight="1">
      <c r="A752" s="22">
        <v>698</v>
      </c>
      <c r="B752" s="26" t="s">
        <v>1473</v>
      </c>
      <c r="C752" s="26" t="s">
        <v>1563</v>
      </c>
      <c r="D752" s="130">
        <v>950</v>
      </c>
      <c r="E752" s="51">
        <v>1450</v>
      </c>
      <c r="F752" s="27">
        <v>2</v>
      </c>
      <c r="G752" s="41">
        <f>InventoryList[[#This Row],[NLC (NET LANDING COST]]*InventoryList[[#This Row],[Quantity in stock]]</f>
        <v>1900</v>
      </c>
      <c r="H752" s="62"/>
      <c r="I752" s="22"/>
    </row>
    <row r="753" spans="1:9" ht="30" customHeight="1">
      <c r="A753" s="22">
        <v>699</v>
      </c>
      <c r="B753" s="26" t="s">
        <v>1474</v>
      </c>
      <c r="C753" s="26" t="s">
        <v>1564</v>
      </c>
      <c r="D753" s="130">
        <v>950</v>
      </c>
      <c r="E753" s="51">
        <v>1450</v>
      </c>
      <c r="F753" s="27">
        <v>1</v>
      </c>
      <c r="G753" s="41">
        <v>950</v>
      </c>
      <c r="H753" s="62"/>
      <c r="I753" s="22"/>
    </row>
    <row r="754" spans="1:9" ht="30" customHeight="1">
      <c r="A754" s="22">
        <v>701</v>
      </c>
      <c r="B754" s="26" t="s">
        <v>1475</v>
      </c>
      <c r="C754" s="26" t="s">
        <v>1565</v>
      </c>
      <c r="D754" s="130">
        <v>1050</v>
      </c>
      <c r="E754" s="51">
        <v>1550</v>
      </c>
      <c r="F754" s="27">
        <v>1</v>
      </c>
      <c r="G754" s="41">
        <f>InventoryList[[#This Row],[NLC (NET LANDING COST]]*InventoryList[[#This Row],[Quantity in stock]]</f>
        <v>1050</v>
      </c>
      <c r="H754" s="62"/>
      <c r="I754" s="22"/>
    </row>
    <row r="755" spans="1:9" ht="30" customHeight="1">
      <c r="A755" s="22">
        <v>702</v>
      </c>
      <c r="B755" s="26" t="s">
        <v>1476</v>
      </c>
      <c r="C755" s="26" t="s">
        <v>1566</v>
      </c>
      <c r="D755" s="130">
        <v>900</v>
      </c>
      <c r="E755" s="51">
        <v>1400</v>
      </c>
      <c r="F755" s="27">
        <v>2</v>
      </c>
      <c r="G755" s="41">
        <f>InventoryList[[#This Row],[NLC (NET LANDING COST]]*InventoryList[[#This Row],[Quantity in stock]]</f>
        <v>1800</v>
      </c>
      <c r="H755" s="62"/>
      <c r="I755" s="22"/>
    </row>
    <row r="756" spans="1:9" ht="30" customHeight="1">
      <c r="A756" s="22">
        <v>703</v>
      </c>
      <c r="B756" s="26" t="s">
        <v>1477</v>
      </c>
      <c r="C756" s="26" t="s">
        <v>1567</v>
      </c>
      <c r="D756" s="130">
        <v>850</v>
      </c>
      <c r="E756" s="51">
        <v>1350</v>
      </c>
      <c r="F756" s="27">
        <v>1</v>
      </c>
      <c r="G756" s="41">
        <f>InventoryList[[#This Row],[NLC (NET LANDING COST]]*InventoryList[[#This Row],[Quantity in stock]]</f>
        <v>850</v>
      </c>
      <c r="H756" s="62"/>
      <c r="I756" s="22"/>
    </row>
    <row r="757" spans="1:9" ht="30" customHeight="1">
      <c r="A757" s="22">
        <v>704</v>
      </c>
      <c r="B757" s="26" t="s">
        <v>1478</v>
      </c>
      <c r="C757" s="26" t="s">
        <v>1568</v>
      </c>
      <c r="D757" s="130">
        <v>900</v>
      </c>
      <c r="E757" s="51">
        <v>1400</v>
      </c>
      <c r="F757" s="27">
        <v>1</v>
      </c>
      <c r="G757" s="41">
        <f>InventoryList[[#This Row],[NLC (NET LANDING COST]]*InventoryList[[#This Row],[Quantity in stock]]</f>
        <v>900</v>
      </c>
      <c r="H757" s="62"/>
      <c r="I757" s="22"/>
    </row>
    <row r="758" spans="1:9" ht="30" customHeight="1">
      <c r="A758" s="22">
        <v>705</v>
      </c>
      <c r="B758" s="26" t="s">
        <v>1479</v>
      </c>
      <c r="C758" s="26" t="s">
        <v>1569</v>
      </c>
      <c r="D758" s="130">
        <v>750</v>
      </c>
      <c r="E758" s="51">
        <v>1250</v>
      </c>
      <c r="F758" s="27">
        <v>1</v>
      </c>
      <c r="G758" s="41">
        <f>InventoryList[[#This Row],[NLC (NET LANDING COST]]*InventoryList[[#This Row],[Quantity in stock]]</f>
        <v>750</v>
      </c>
      <c r="H758" s="62"/>
      <c r="I758" s="22"/>
    </row>
    <row r="759" spans="1:9" ht="30" customHeight="1">
      <c r="A759" s="22">
        <v>706</v>
      </c>
      <c r="B759" s="26" t="s">
        <v>1480</v>
      </c>
      <c r="C759" s="26" t="s">
        <v>1570</v>
      </c>
      <c r="D759" s="130">
        <v>800</v>
      </c>
      <c r="E759" s="51">
        <v>1300</v>
      </c>
      <c r="F759" s="27">
        <v>1</v>
      </c>
      <c r="G759" s="41">
        <f>InventoryList[[#This Row],[NLC (NET LANDING COST]]*InventoryList[[#This Row],[Quantity in stock]]</f>
        <v>800</v>
      </c>
      <c r="H759" s="62"/>
      <c r="I759" s="22"/>
    </row>
    <row r="760" spans="1:9" ht="30" customHeight="1">
      <c r="A760" s="22">
        <v>707</v>
      </c>
      <c r="B760" s="26" t="s">
        <v>1481</v>
      </c>
      <c r="C760" s="26" t="s">
        <v>1571</v>
      </c>
      <c r="D760" s="130">
        <v>850</v>
      </c>
      <c r="E760" s="51">
        <v>1350</v>
      </c>
      <c r="F760" s="27">
        <v>1</v>
      </c>
      <c r="G760" s="41">
        <f>InventoryList[[#This Row],[NLC (NET LANDING COST]]*InventoryList[[#This Row],[Quantity in stock]]</f>
        <v>850</v>
      </c>
      <c r="H760" s="62"/>
      <c r="I760" s="22"/>
    </row>
    <row r="761" spans="1:9" ht="30" customHeight="1">
      <c r="A761" s="22">
        <v>708</v>
      </c>
      <c r="B761" s="26" t="s">
        <v>1482</v>
      </c>
      <c r="C761" s="26" t="s">
        <v>1572</v>
      </c>
      <c r="D761" s="130">
        <v>800</v>
      </c>
      <c r="E761" s="51">
        <v>1300</v>
      </c>
      <c r="F761" s="27">
        <v>2</v>
      </c>
      <c r="G761" s="41">
        <f>InventoryList[[#This Row],[NLC (NET LANDING COST]]*InventoryList[[#This Row],[Quantity in stock]]</f>
        <v>1600</v>
      </c>
      <c r="H761" s="62"/>
      <c r="I761" s="22"/>
    </row>
    <row r="762" spans="1:9" ht="30" customHeight="1">
      <c r="A762" s="22">
        <v>709</v>
      </c>
      <c r="B762" s="26" t="s">
        <v>1483</v>
      </c>
      <c r="C762" s="26" t="s">
        <v>1573</v>
      </c>
      <c r="D762" s="130">
        <v>800</v>
      </c>
      <c r="E762" s="51">
        <v>1300</v>
      </c>
      <c r="F762" s="27">
        <v>1</v>
      </c>
      <c r="G762" s="41">
        <f>InventoryList[[#This Row],[NLC (NET LANDING COST]]*InventoryList[[#This Row],[Quantity in stock]]</f>
        <v>800</v>
      </c>
      <c r="H762" s="62"/>
      <c r="I762" s="22"/>
    </row>
    <row r="763" spans="1:9" ht="30" customHeight="1">
      <c r="A763" s="22">
        <v>710</v>
      </c>
      <c r="B763" s="26" t="s">
        <v>1484</v>
      </c>
      <c r="C763" s="26" t="s">
        <v>1574</v>
      </c>
      <c r="D763" s="130">
        <v>158</v>
      </c>
      <c r="E763" s="51">
        <v>210</v>
      </c>
      <c r="F763" s="27">
        <v>10</v>
      </c>
      <c r="G763" s="41">
        <f>InventoryList[[#This Row],[NLC (NET LANDING COST]]*InventoryList[[#This Row],[Quantity in stock]]</f>
        <v>1580</v>
      </c>
      <c r="H763" s="62"/>
      <c r="I763" s="22"/>
    </row>
    <row r="764" spans="1:9" ht="30" customHeight="1">
      <c r="A764" s="22">
        <v>711</v>
      </c>
      <c r="B764" s="26" t="s">
        <v>1485</v>
      </c>
      <c r="C764" s="26" t="s">
        <v>1574</v>
      </c>
      <c r="D764" s="130">
        <v>155</v>
      </c>
      <c r="E764" s="51">
        <v>220</v>
      </c>
      <c r="F764" s="27">
        <v>10</v>
      </c>
      <c r="G764" s="41">
        <f>InventoryList[[#This Row],[NLC (NET LANDING COST]]*InventoryList[[#This Row],[Quantity in stock]]</f>
        <v>1550</v>
      </c>
      <c r="H764" s="62"/>
      <c r="I764" s="22"/>
    </row>
    <row r="765" spans="1:9" ht="30" customHeight="1">
      <c r="A765" s="22">
        <v>712</v>
      </c>
      <c r="B765" s="26" t="s">
        <v>1486</v>
      </c>
      <c r="C765" s="26" t="s">
        <v>1575</v>
      </c>
      <c r="D765" s="130">
        <v>170</v>
      </c>
      <c r="E765" s="51">
        <v>260</v>
      </c>
      <c r="F765" s="27">
        <v>10</v>
      </c>
      <c r="G765" s="41">
        <f>InventoryList[[#This Row],[NLC (NET LANDING COST]]*InventoryList[[#This Row],[Quantity in stock]]</f>
        <v>1700</v>
      </c>
      <c r="H765" s="62"/>
      <c r="I765" s="22"/>
    </row>
    <row r="766" spans="1:9" ht="30" customHeight="1">
      <c r="A766" s="22">
        <v>713</v>
      </c>
      <c r="B766" s="26" t="s">
        <v>1487</v>
      </c>
      <c r="C766" s="26" t="s">
        <v>1492</v>
      </c>
      <c r="D766" s="130">
        <v>190</v>
      </c>
      <c r="E766" s="51">
        <v>260</v>
      </c>
      <c r="F766" s="27">
        <v>10</v>
      </c>
      <c r="G766" s="41">
        <f>InventoryList[[#This Row],[NLC (NET LANDING COST]]*InventoryList[[#This Row],[Quantity in stock]]</f>
        <v>1900</v>
      </c>
      <c r="H766" s="62"/>
      <c r="I766" s="22"/>
    </row>
    <row r="767" spans="1:9" ht="30" customHeight="1">
      <c r="A767" s="22">
        <v>714</v>
      </c>
      <c r="B767" s="26" t="s">
        <v>1488</v>
      </c>
      <c r="C767" s="26" t="s">
        <v>1493</v>
      </c>
      <c r="D767" s="130">
        <v>190</v>
      </c>
      <c r="E767" s="51">
        <v>250</v>
      </c>
      <c r="F767" s="27">
        <v>10</v>
      </c>
      <c r="G767" s="41">
        <f>InventoryList[[#This Row],[NLC (NET LANDING COST]]*InventoryList[[#This Row],[Quantity in stock]]</f>
        <v>1900</v>
      </c>
      <c r="H767" s="62"/>
      <c r="I767" s="22"/>
    </row>
    <row r="768" spans="1:9" ht="30" customHeight="1">
      <c r="A768" s="22">
        <v>715</v>
      </c>
      <c r="B768" s="26" t="s">
        <v>1489</v>
      </c>
      <c r="C768" s="26" t="s">
        <v>1494</v>
      </c>
      <c r="D768" s="130">
        <v>70</v>
      </c>
      <c r="E768" s="51">
        <v>140</v>
      </c>
      <c r="F768" s="27">
        <v>10</v>
      </c>
      <c r="G768" s="41">
        <f>InventoryList[[#This Row],[NLC (NET LANDING COST]]*InventoryList[[#This Row],[Quantity in stock]]</f>
        <v>700</v>
      </c>
      <c r="H768" s="62"/>
      <c r="I768" s="22"/>
    </row>
    <row r="769" spans="1:9" ht="30" customHeight="1">
      <c r="A769" s="22">
        <v>716</v>
      </c>
      <c r="B769" s="26" t="s">
        <v>1490</v>
      </c>
      <c r="C769" s="26" t="s">
        <v>1495</v>
      </c>
      <c r="D769" s="130">
        <v>70</v>
      </c>
      <c r="E769" s="51">
        <v>160</v>
      </c>
      <c r="F769" s="27">
        <v>5</v>
      </c>
      <c r="G769" s="41">
        <f>InventoryList[[#This Row],[NLC (NET LANDING COST]]*InventoryList[[#This Row],[Quantity in stock]]</f>
        <v>350</v>
      </c>
      <c r="H769" s="62"/>
      <c r="I769" s="22"/>
    </row>
    <row r="770" spans="1:9" ht="30" customHeight="1" thickBot="1">
      <c r="A770" s="22">
        <v>717</v>
      </c>
      <c r="B770" s="26" t="s">
        <v>1491</v>
      </c>
      <c r="C770" s="26" t="s">
        <v>1496</v>
      </c>
      <c r="D770" s="130">
        <v>90</v>
      </c>
      <c r="E770" s="51">
        <v>180</v>
      </c>
      <c r="F770" s="27">
        <v>5</v>
      </c>
      <c r="G770" s="41">
        <f>InventoryList[[#This Row],[NLC (NET LANDING COST]]*InventoryList[[#This Row],[Quantity in stock]]</f>
        <v>450</v>
      </c>
      <c r="H770" s="62"/>
      <c r="I770" s="22"/>
    </row>
    <row r="771" spans="1:9" ht="18" customHeight="1" thickTop="1" thickBot="1">
      <c r="A771" s="124" t="s">
        <v>51</v>
      </c>
      <c r="B771" s="125">
        <v>11904</v>
      </c>
      <c r="C771" s="126" t="s">
        <v>525</v>
      </c>
      <c r="D771" s="136"/>
      <c r="E771" s="127">
        <v>21480</v>
      </c>
      <c r="F771" s="127"/>
      <c r="G771" s="128"/>
      <c r="H771" s="129"/>
      <c r="I771" s="22"/>
    </row>
    <row r="772" spans="1:9" ht="30" customHeight="1" thickTop="1" thickBot="1">
      <c r="A772" s="108" t="s">
        <v>51</v>
      </c>
      <c r="B772" s="109">
        <v>11905</v>
      </c>
      <c r="C772" s="110" t="s">
        <v>525</v>
      </c>
      <c r="D772" s="136"/>
      <c r="E772" s="111">
        <v>17510</v>
      </c>
      <c r="F772" s="111"/>
      <c r="G772" s="112"/>
      <c r="H772" s="113"/>
      <c r="I772" s="22"/>
    </row>
    <row r="773" spans="1:9" ht="30" customHeight="1" thickTop="1">
      <c r="A773" s="22">
        <v>718</v>
      </c>
      <c r="B773" s="26" t="s">
        <v>1497</v>
      </c>
      <c r="C773" s="26" t="s">
        <v>1584</v>
      </c>
      <c r="D773" s="130">
        <v>160</v>
      </c>
      <c r="E773" s="51">
        <v>200</v>
      </c>
      <c r="F773" s="27">
        <v>10</v>
      </c>
      <c r="G773" s="41">
        <f>InventoryList[[#This Row],[NLC (NET LANDING COST]]*InventoryList[[#This Row],[Quantity in stock]]</f>
        <v>1600</v>
      </c>
      <c r="H773" s="62"/>
      <c r="I773" s="22"/>
    </row>
    <row r="774" spans="1:9" ht="30" customHeight="1">
      <c r="A774" s="22">
        <v>719</v>
      </c>
      <c r="B774" s="26" t="s">
        <v>1500</v>
      </c>
      <c r="C774" s="26" t="s">
        <v>1583</v>
      </c>
      <c r="D774" s="130">
        <v>35</v>
      </c>
      <c r="E774" s="51">
        <v>90</v>
      </c>
      <c r="F774" s="27">
        <v>10</v>
      </c>
      <c r="G774" s="41">
        <f>InventoryList[[#This Row],[NLC (NET LANDING COST]]*InventoryList[[#This Row],[Quantity in stock]]</f>
        <v>350</v>
      </c>
      <c r="H774" s="62"/>
      <c r="I774" s="22"/>
    </row>
    <row r="775" spans="1:9" ht="30" customHeight="1">
      <c r="A775" s="22">
        <v>720</v>
      </c>
      <c r="B775" s="26" t="s">
        <v>1501</v>
      </c>
      <c r="C775" s="26" t="s">
        <v>1589</v>
      </c>
      <c r="D775" s="130">
        <v>105</v>
      </c>
      <c r="E775" s="51">
        <v>387</v>
      </c>
      <c r="F775" s="27">
        <v>10</v>
      </c>
      <c r="G775" s="41">
        <f>InventoryList[[#This Row],[NLC (NET LANDING COST]]*InventoryList[[#This Row],[Quantity in stock]]</f>
        <v>1050</v>
      </c>
      <c r="H775" s="62"/>
      <c r="I775" s="22"/>
    </row>
    <row r="776" spans="1:9" ht="30" customHeight="1">
      <c r="A776" s="22">
        <v>721</v>
      </c>
      <c r="B776" s="26" t="s">
        <v>1502</v>
      </c>
      <c r="C776" s="26" t="s">
        <v>1585</v>
      </c>
      <c r="D776" s="130">
        <v>530</v>
      </c>
      <c r="E776" s="51">
        <v>700</v>
      </c>
      <c r="F776" s="27">
        <v>20</v>
      </c>
      <c r="G776" s="41">
        <f>InventoryList[[#This Row],[NLC (NET LANDING COST]]*InventoryList[[#This Row],[Quantity in stock]]</f>
        <v>10600</v>
      </c>
      <c r="H776" s="62"/>
      <c r="I776" s="22"/>
    </row>
    <row r="777" spans="1:9" ht="30" customHeight="1">
      <c r="A777" s="22">
        <v>722</v>
      </c>
      <c r="B777" s="26" t="s">
        <v>1503</v>
      </c>
      <c r="C777" s="26" t="s">
        <v>1588</v>
      </c>
      <c r="D777" s="130">
        <v>360</v>
      </c>
      <c r="E777" s="51">
        <v>550</v>
      </c>
      <c r="F777" s="27">
        <v>6</v>
      </c>
      <c r="G777" s="41">
        <f>InventoryList[[#This Row],[NLC (NET LANDING COST]]*InventoryList[[#This Row],[Quantity in stock]]</f>
        <v>2160</v>
      </c>
      <c r="H777" s="62"/>
      <c r="I777" s="22"/>
    </row>
    <row r="778" spans="1:9" ht="30" customHeight="1">
      <c r="A778" s="22">
        <v>723</v>
      </c>
      <c r="B778" s="26" t="s">
        <v>1504</v>
      </c>
      <c r="C778" s="26" t="s">
        <v>1498</v>
      </c>
      <c r="D778" s="130">
        <v>100</v>
      </c>
      <c r="E778" s="51">
        <v>200</v>
      </c>
      <c r="F778" s="27">
        <v>10</v>
      </c>
      <c r="G778" s="41">
        <f>InventoryList[[#This Row],[NLC (NET LANDING COST]]*InventoryList[[#This Row],[Quantity in stock]]</f>
        <v>1000</v>
      </c>
      <c r="H778" s="62"/>
      <c r="I778" s="22"/>
    </row>
    <row r="779" spans="1:9" ht="30" customHeight="1" thickBot="1">
      <c r="A779" s="22">
        <v>724</v>
      </c>
      <c r="B779" s="26" t="s">
        <v>815</v>
      </c>
      <c r="C779" s="26" t="s">
        <v>323</v>
      </c>
      <c r="D779" s="130">
        <v>750</v>
      </c>
      <c r="E779" s="51">
        <v>-6.3333333333333597</v>
      </c>
      <c r="F779" s="27">
        <v>1</v>
      </c>
      <c r="G779" s="41">
        <f>InventoryList[[#This Row],[NLC (NET LANDING COST]]*InventoryList[[#This Row],[Quantity in stock]]</f>
        <v>750</v>
      </c>
      <c r="H779" s="62"/>
      <c r="I779" s="22"/>
    </row>
    <row r="780" spans="1:9" ht="30" customHeight="1" thickTop="1" thickBot="1">
      <c r="A780" s="124" t="s">
        <v>51</v>
      </c>
      <c r="B780" s="125">
        <v>11905</v>
      </c>
      <c r="C780" s="126" t="s">
        <v>525</v>
      </c>
      <c r="D780" s="136"/>
      <c r="E780" s="127">
        <v>17510</v>
      </c>
      <c r="F780" s="127"/>
      <c r="G780" s="128"/>
      <c r="H780" s="129"/>
      <c r="I780" s="22"/>
    </row>
    <row r="781" spans="1:9" ht="30" customHeight="1" thickTop="1" thickBot="1">
      <c r="A781" s="108" t="s">
        <v>51</v>
      </c>
      <c r="B781" s="109" t="s">
        <v>1499</v>
      </c>
      <c r="C781" s="110" t="s">
        <v>525</v>
      </c>
      <c r="D781" s="135"/>
      <c r="E781" s="111">
        <v>17510</v>
      </c>
      <c r="F781" s="111"/>
      <c r="G781" s="112"/>
      <c r="H781" s="113"/>
      <c r="I781" s="22"/>
    </row>
    <row r="782" spans="1:9" ht="30" customHeight="1" thickTop="1">
      <c r="A782" s="22">
        <v>725</v>
      </c>
      <c r="B782" s="26" t="s">
        <v>1505</v>
      </c>
      <c r="C782" s="26" t="s">
        <v>1576</v>
      </c>
      <c r="D782" s="130">
        <v>50</v>
      </c>
      <c r="E782" s="51">
        <v>150</v>
      </c>
      <c r="F782" s="27">
        <v>10</v>
      </c>
      <c r="G782" s="41">
        <f>InventoryList[[#This Row],[NLC (NET LANDING COST]]*InventoryList[[#This Row],[Quantity in stock]]</f>
        <v>500</v>
      </c>
      <c r="H782" s="62"/>
      <c r="I782" s="22"/>
    </row>
    <row r="783" spans="1:9" ht="30" customHeight="1">
      <c r="A783" s="22">
        <v>726</v>
      </c>
      <c r="B783" s="26" t="s">
        <v>1506</v>
      </c>
      <c r="C783" s="26" t="s">
        <v>1577</v>
      </c>
      <c r="D783" s="130">
        <v>180</v>
      </c>
      <c r="E783" s="51">
        <v>260</v>
      </c>
      <c r="F783" s="27">
        <v>10</v>
      </c>
      <c r="G783" s="41">
        <f>InventoryList[[#This Row],[NLC (NET LANDING COST]]*InventoryList[[#This Row],[Quantity in stock]]</f>
        <v>1800</v>
      </c>
      <c r="H783" s="62"/>
      <c r="I783" s="22"/>
    </row>
    <row r="784" spans="1:9" ht="30" customHeight="1">
      <c r="A784" s="22">
        <v>727</v>
      </c>
      <c r="B784" s="26" t="s">
        <v>1507</v>
      </c>
      <c r="C784" s="26" t="s">
        <v>1578</v>
      </c>
      <c r="D784" s="130">
        <v>155</v>
      </c>
      <c r="E784" s="51">
        <v>200</v>
      </c>
      <c r="F784" s="27">
        <v>10</v>
      </c>
      <c r="G784" s="41">
        <f>InventoryList[[#This Row],[NLC (NET LANDING COST]]*InventoryList[[#This Row],[Quantity in stock]]</f>
        <v>1550</v>
      </c>
      <c r="H784" s="62"/>
      <c r="I784" s="22"/>
    </row>
    <row r="785" spans="1:9" ht="30" customHeight="1">
      <c r="A785" s="22">
        <v>728</v>
      </c>
      <c r="B785" s="26" t="s">
        <v>1508</v>
      </c>
      <c r="C785" s="26" t="s">
        <v>1579</v>
      </c>
      <c r="D785" s="130">
        <v>158</v>
      </c>
      <c r="E785" s="51">
        <v>220</v>
      </c>
      <c r="F785" s="27">
        <v>5</v>
      </c>
      <c r="G785" s="41">
        <f>InventoryList[[#This Row],[NLC (NET LANDING COST]]*InventoryList[[#This Row],[Quantity in stock]]</f>
        <v>790</v>
      </c>
      <c r="H785" s="62"/>
      <c r="I785" s="22"/>
    </row>
    <row r="786" spans="1:9" ht="30" customHeight="1">
      <c r="A786" s="22">
        <v>729</v>
      </c>
      <c r="B786" s="26" t="s">
        <v>1509</v>
      </c>
      <c r="C786" s="26" t="s">
        <v>1580</v>
      </c>
      <c r="D786" s="130">
        <v>680</v>
      </c>
      <c r="E786" s="51">
        <v>1100</v>
      </c>
      <c r="F786" s="27">
        <v>3</v>
      </c>
      <c r="G786" s="41">
        <f>InventoryList[[#This Row],[NLC (NET LANDING COST]]*InventoryList[[#This Row],[Quantity in stock]]</f>
        <v>2040</v>
      </c>
      <c r="H786" s="62"/>
      <c r="I786" s="22"/>
    </row>
    <row r="787" spans="1:9" ht="30" customHeight="1">
      <c r="A787" s="22">
        <v>730</v>
      </c>
      <c r="B787" s="26" t="s">
        <v>1510</v>
      </c>
      <c r="C787" s="26" t="s">
        <v>1581</v>
      </c>
      <c r="D787" s="130">
        <v>680</v>
      </c>
      <c r="E787" s="51">
        <v>1100</v>
      </c>
      <c r="F787" s="27">
        <v>3</v>
      </c>
      <c r="G787" s="41">
        <f>InventoryList[[#This Row],[NLC (NET LANDING COST]]*InventoryList[[#This Row],[Quantity in stock]]</f>
        <v>2040</v>
      </c>
      <c r="H787" s="62"/>
      <c r="I787" s="22"/>
    </row>
    <row r="788" spans="1:9" ht="30" customHeight="1">
      <c r="A788" s="22">
        <v>731</v>
      </c>
      <c r="B788" s="26" t="s">
        <v>1511</v>
      </c>
      <c r="C788" s="26" t="s">
        <v>1582</v>
      </c>
      <c r="D788" s="130">
        <v>700</v>
      </c>
      <c r="E788" s="51">
        <v>1200</v>
      </c>
      <c r="F788" s="27">
        <v>3</v>
      </c>
      <c r="G788" s="41">
        <f>InventoryList[[#This Row],[NLC (NET LANDING COST]]*InventoryList[[#This Row],[Quantity in stock]]</f>
        <v>2100</v>
      </c>
      <c r="H788" s="62"/>
      <c r="I788" s="22"/>
    </row>
    <row r="789" spans="1:9" ht="30" customHeight="1">
      <c r="A789" s="22">
        <v>732</v>
      </c>
      <c r="B789" s="26" t="s">
        <v>1512</v>
      </c>
      <c r="C789" s="26" t="s">
        <v>1587</v>
      </c>
      <c r="D789" s="130">
        <v>680</v>
      </c>
      <c r="E789" s="51">
        <v>1100</v>
      </c>
      <c r="F789" s="27">
        <v>3</v>
      </c>
      <c r="G789" s="41">
        <f>InventoryList[[#This Row],[NLC (NET LANDING COST]]*InventoryList[[#This Row],[Quantity in stock]]</f>
        <v>2040</v>
      </c>
      <c r="H789" s="62"/>
      <c r="I789" s="22"/>
    </row>
    <row r="790" spans="1:9" ht="30" customHeight="1">
      <c r="A790" s="22">
        <v>733</v>
      </c>
      <c r="B790" s="26" t="s">
        <v>1513</v>
      </c>
      <c r="C790" s="26" t="s">
        <v>1586</v>
      </c>
      <c r="D790" s="130">
        <v>1350</v>
      </c>
      <c r="E790" s="51">
        <v>140</v>
      </c>
      <c r="F790" s="27">
        <v>33.65</v>
      </c>
      <c r="G790" s="41">
        <f>InventoryList[[#This Row],[NLC (NET LANDING COST]]*InventoryList[[#This Row],[Quantity in stock]]</f>
        <v>45427.5</v>
      </c>
      <c r="H790" s="62"/>
      <c r="I790" s="22"/>
    </row>
    <row r="791" spans="1:9" ht="30" customHeight="1" thickBot="1">
      <c r="A791" s="22">
        <v>734</v>
      </c>
      <c r="B791" s="26" t="s">
        <v>1514</v>
      </c>
      <c r="C791" s="26" t="s">
        <v>323</v>
      </c>
      <c r="D791" s="130">
        <v>500</v>
      </c>
      <c r="E791" s="51">
        <v>-9.6666666666666803</v>
      </c>
      <c r="F791" s="27">
        <v>1</v>
      </c>
      <c r="G791" s="41">
        <f>InventoryList[[#This Row],[NLC (NET LANDING COST]]*InventoryList[[#This Row],[Quantity in stock]]</f>
        <v>500</v>
      </c>
      <c r="H791" s="62"/>
      <c r="I791" s="22"/>
    </row>
    <row r="792" spans="1:9" ht="18" customHeight="1" thickTop="1" thickBot="1">
      <c r="A792" s="124" t="s">
        <v>51</v>
      </c>
      <c r="B792" s="125">
        <v>11905</v>
      </c>
      <c r="C792" s="126" t="s">
        <v>525</v>
      </c>
      <c r="D792" s="136"/>
      <c r="E792" s="127">
        <v>65898</v>
      </c>
      <c r="F792" s="127"/>
      <c r="G792" s="128"/>
      <c r="H792" s="129"/>
      <c r="I792" s="22"/>
    </row>
    <row r="793" spans="1:9" ht="30" customHeight="1" thickTop="1" thickBot="1">
      <c r="A793" s="108" t="s">
        <v>51</v>
      </c>
      <c r="B793" s="109" t="s">
        <v>1499</v>
      </c>
      <c r="C793" s="110" t="s">
        <v>525</v>
      </c>
      <c r="D793" s="135"/>
      <c r="E793" s="111">
        <v>17510</v>
      </c>
      <c r="F793" s="111"/>
      <c r="G793" s="112"/>
      <c r="H793" s="113"/>
      <c r="I793" s="22"/>
    </row>
    <row r="794" spans="1:9" ht="30" customHeight="1" thickTop="1">
      <c r="A794" s="22">
        <v>735</v>
      </c>
      <c r="B794" s="26" t="s">
        <v>1363</v>
      </c>
      <c r="C794" s="26" t="s">
        <v>1611</v>
      </c>
      <c r="D794" s="130">
        <v>3480</v>
      </c>
      <c r="E794" s="51">
        <v>4000</v>
      </c>
      <c r="F794" s="27">
        <v>0</v>
      </c>
      <c r="G794" s="41">
        <f>InventoryList[[#This Row],[NLC (NET LANDING COST]]*InventoryList[[#This Row],[Quantity in stock]]</f>
        <v>0</v>
      </c>
      <c r="H794" s="62"/>
      <c r="I794" s="22"/>
    </row>
    <row r="795" spans="1:9" ht="30" customHeight="1">
      <c r="A795" s="22">
        <v>736</v>
      </c>
      <c r="B795" s="26" t="s">
        <v>1630</v>
      </c>
      <c r="C795" s="26" t="s">
        <v>1612</v>
      </c>
      <c r="D795" s="130">
        <v>225</v>
      </c>
      <c r="E795" s="51">
        <v>350</v>
      </c>
      <c r="F795" s="27">
        <v>40</v>
      </c>
      <c r="G795" s="41">
        <f>InventoryList[[#This Row],[NLC (NET LANDING COST]]*InventoryList[[#This Row],[Quantity in stock]]</f>
        <v>9000</v>
      </c>
      <c r="H795" s="62"/>
      <c r="I795" s="22"/>
    </row>
    <row r="796" spans="1:9" ht="30" customHeight="1">
      <c r="A796" s="22">
        <v>737</v>
      </c>
      <c r="B796" s="26" t="s">
        <v>1631</v>
      </c>
      <c r="C796" s="26" t="s">
        <v>1613</v>
      </c>
      <c r="D796" s="130">
        <v>60</v>
      </c>
      <c r="E796" s="51">
        <v>150</v>
      </c>
      <c r="F796" s="27">
        <v>10</v>
      </c>
      <c r="G796" s="41">
        <f>InventoryList[[#This Row],[NLC (NET LANDING COST]]*InventoryList[[#This Row],[Quantity in stock]]</f>
        <v>600</v>
      </c>
      <c r="H796" s="62"/>
      <c r="I796" s="22"/>
    </row>
    <row r="797" spans="1:9" ht="30" customHeight="1">
      <c r="A797" s="22">
        <v>738</v>
      </c>
      <c r="B797" s="26" t="s">
        <v>1632</v>
      </c>
      <c r="C797" s="26" t="s">
        <v>1614</v>
      </c>
      <c r="D797" s="130">
        <v>140</v>
      </c>
      <c r="E797" s="51">
        <v>180</v>
      </c>
      <c r="F797" s="27">
        <v>10</v>
      </c>
      <c r="G797" s="41">
        <f>InventoryList[[#This Row],[NLC (NET LANDING COST]]*InventoryList[[#This Row],[Quantity in stock]]</f>
        <v>1400</v>
      </c>
      <c r="H797" s="62"/>
      <c r="I797" s="22"/>
    </row>
    <row r="798" spans="1:9" ht="30" customHeight="1">
      <c r="A798" s="22">
        <v>739</v>
      </c>
      <c r="B798" s="26" t="s">
        <v>1633</v>
      </c>
      <c r="C798" s="26" t="s">
        <v>1615</v>
      </c>
      <c r="D798" s="130">
        <v>360</v>
      </c>
      <c r="E798" s="51">
        <v>600</v>
      </c>
      <c r="F798" s="27">
        <v>5</v>
      </c>
      <c r="G798" s="41">
        <f>InventoryList[[#This Row],[NLC (NET LANDING COST]]*InventoryList[[#This Row],[Quantity in stock]]</f>
        <v>1800</v>
      </c>
      <c r="H798" s="62"/>
      <c r="I798" s="22"/>
    </row>
    <row r="799" spans="1:9" ht="30" customHeight="1">
      <c r="A799" s="22">
        <v>740</v>
      </c>
      <c r="B799" s="26" t="s">
        <v>1634</v>
      </c>
      <c r="C799" s="26" t="s">
        <v>1616</v>
      </c>
      <c r="D799" s="130">
        <v>380</v>
      </c>
      <c r="E799" s="51">
        <v>600</v>
      </c>
      <c r="F799" s="27">
        <v>5</v>
      </c>
      <c r="G799" s="41">
        <f>InventoryList[[#This Row],[NLC (NET LANDING COST]]*InventoryList[[#This Row],[Quantity in stock]]</f>
        <v>1900</v>
      </c>
      <c r="H799" s="62"/>
      <c r="I799" s="22"/>
    </row>
    <row r="800" spans="1:9" ht="30" customHeight="1">
      <c r="A800" s="22">
        <v>741</v>
      </c>
      <c r="B800" s="26" t="s">
        <v>1635</v>
      </c>
      <c r="C800" s="26" t="s">
        <v>1617</v>
      </c>
      <c r="D800" s="130">
        <v>70</v>
      </c>
      <c r="E800" s="51">
        <v>150</v>
      </c>
      <c r="F800" s="27">
        <v>5</v>
      </c>
      <c r="G800" s="41">
        <f>InventoryList[[#This Row],[NLC (NET LANDING COST]]*InventoryList[[#This Row],[Quantity in stock]]</f>
        <v>350</v>
      </c>
      <c r="H800" s="62"/>
      <c r="I800" s="22"/>
    </row>
    <row r="801" spans="1:9" ht="30" customHeight="1">
      <c r="A801" s="22">
        <v>742</v>
      </c>
      <c r="B801" s="26" t="s">
        <v>1636</v>
      </c>
      <c r="C801" s="26" t="s">
        <v>1618</v>
      </c>
      <c r="D801" s="130">
        <v>500</v>
      </c>
      <c r="E801" s="51">
        <v>800</v>
      </c>
      <c r="F801" s="27">
        <v>2</v>
      </c>
      <c r="G801" s="41">
        <f>InventoryList[[#This Row],[NLC (NET LANDING COST]]*InventoryList[[#This Row],[Quantity in stock]]</f>
        <v>1000</v>
      </c>
      <c r="H801" s="62"/>
      <c r="I801" s="22"/>
    </row>
    <row r="802" spans="1:9" ht="30" customHeight="1">
      <c r="A802" s="22">
        <v>743</v>
      </c>
      <c r="B802" s="26" t="s">
        <v>1637</v>
      </c>
      <c r="C802" s="26" t="s">
        <v>1619</v>
      </c>
      <c r="D802" s="130">
        <v>460</v>
      </c>
      <c r="E802" s="51">
        <v>650</v>
      </c>
      <c r="F802" s="27">
        <v>5</v>
      </c>
      <c r="G802" s="41">
        <f>InventoryList[[#This Row],[NLC (NET LANDING COST]]*InventoryList[[#This Row],[Quantity in stock]]</f>
        <v>2300</v>
      </c>
      <c r="H802" s="62"/>
      <c r="I802" s="22"/>
    </row>
    <row r="803" spans="1:9" ht="30" customHeight="1">
      <c r="A803" s="22">
        <v>744</v>
      </c>
      <c r="B803" s="26" t="s">
        <v>1638</v>
      </c>
      <c r="C803" s="26" t="s">
        <v>1620</v>
      </c>
      <c r="D803" s="130">
        <v>170</v>
      </c>
      <c r="E803" s="51">
        <v>350</v>
      </c>
      <c r="F803" s="27">
        <v>20</v>
      </c>
      <c r="G803" s="41">
        <f>InventoryList[[#This Row],[NLC (NET LANDING COST]]*InventoryList[[#This Row],[Quantity in stock]]</f>
        <v>3400</v>
      </c>
      <c r="H803" s="62"/>
      <c r="I803" s="22"/>
    </row>
    <row r="804" spans="1:9" ht="30" customHeight="1">
      <c r="A804" s="22">
        <v>745</v>
      </c>
      <c r="B804" s="26" t="s">
        <v>1639</v>
      </c>
      <c r="C804" s="26" t="s">
        <v>1621</v>
      </c>
      <c r="D804" s="130">
        <v>530</v>
      </c>
      <c r="E804" s="51">
        <v>800</v>
      </c>
      <c r="F804" s="27">
        <v>2</v>
      </c>
      <c r="G804" s="41">
        <f>InventoryList[[#This Row],[NLC (NET LANDING COST]]*InventoryList[[#This Row],[Quantity in stock]]</f>
        <v>1060</v>
      </c>
      <c r="H804" s="62"/>
      <c r="I804" s="22"/>
    </row>
    <row r="805" spans="1:9" ht="30" customHeight="1">
      <c r="A805" s="22">
        <v>746</v>
      </c>
      <c r="B805" s="26" t="s">
        <v>1640</v>
      </c>
      <c r="C805" s="26" t="s">
        <v>1622</v>
      </c>
      <c r="D805" s="130">
        <v>950</v>
      </c>
      <c r="E805" s="51">
        <v>1700</v>
      </c>
      <c r="F805" s="27">
        <v>5</v>
      </c>
      <c r="G805" s="41">
        <f>InventoryList[[#This Row],[NLC (NET LANDING COST]]*InventoryList[[#This Row],[Quantity in stock]]</f>
        <v>4750</v>
      </c>
      <c r="H805" s="62"/>
      <c r="I805" s="22"/>
    </row>
    <row r="806" spans="1:9" ht="30" customHeight="1">
      <c r="A806" s="22">
        <v>747</v>
      </c>
      <c r="B806" s="26" t="s">
        <v>1641</v>
      </c>
      <c r="C806" s="26" t="s">
        <v>1623</v>
      </c>
      <c r="D806" s="130">
        <v>700</v>
      </c>
      <c r="E806" s="51">
        <v>1000</v>
      </c>
      <c r="F806" s="27">
        <v>2</v>
      </c>
      <c r="G806" s="41">
        <f>InventoryList[[#This Row],[NLC (NET LANDING COST]]*InventoryList[[#This Row],[Quantity in stock]]</f>
        <v>1400</v>
      </c>
      <c r="H806" s="62"/>
      <c r="I806" s="22"/>
    </row>
    <row r="807" spans="1:9" ht="30" customHeight="1">
      <c r="A807" s="22">
        <v>748</v>
      </c>
      <c r="B807" s="26" t="s">
        <v>1642</v>
      </c>
      <c r="C807" s="26" t="s">
        <v>1624</v>
      </c>
      <c r="D807" s="130">
        <v>180</v>
      </c>
      <c r="E807" s="51">
        <v>450</v>
      </c>
      <c r="F807" s="27">
        <v>5</v>
      </c>
      <c r="G807" s="41">
        <f>InventoryList[[#This Row],[NLC (NET LANDING COST]]*InventoryList[[#This Row],[Quantity in stock]]</f>
        <v>900</v>
      </c>
      <c r="H807" s="62"/>
      <c r="I807" s="22"/>
    </row>
    <row r="808" spans="1:9" ht="30" customHeight="1">
      <c r="A808" s="22">
        <v>749</v>
      </c>
      <c r="B808" s="26" t="s">
        <v>1643</v>
      </c>
      <c r="C808" s="26" t="s">
        <v>1625</v>
      </c>
      <c r="D808" s="130">
        <v>375</v>
      </c>
      <c r="E808" s="51">
        <v>650</v>
      </c>
      <c r="F808" s="27">
        <v>2</v>
      </c>
      <c r="G808" s="41">
        <f>InventoryList[[#This Row],[NLC (NET LANDING COST]]*InventoryList[[#This Row],[Quantity in stock]]</f>
        <v>750</v>
      </c>
      <c r="H808" s="62"/>
      <c r="I808" s="22"/>
    </row>
    <row r="809" spans="1:9" ht="30" customHeight="1">
      <c r="A809" s="22">
        <v>750</v>
      </c>
      <c r="B809" s="26" t="s">
        <v>1644</v>
      </c>
      <c r="C809" s="26" t="s">
        <v>1626</v>
      </c>
      <c r="D809" s="130">
        <v>90</v>
      </c>
      <c r="E809" s="51">
        <v>150</v>
      </c>
      <c r="F809" s="27">
        <v>5</v>
      </c>
      <c r="G809" s="41">
        <f>InventoryList[[#This Row],[NLC (NET LANDING COST]]*InventoryList[[#This Row],[Quantity in stock]]</f>
        <v>450</v>
      </c>
      <c r="H809" s="62"/>
      <c r="I809" s="22"/>
    </row>
    <row r="810" spans="1:9" ht="30" customHeight="1">
      <c r="A810" s="22">
        <v>751</v>
      </c>
      <c r="B810" s="26" t="s">
        <v>1645</v>
      </c>
      <c r="C810" s="26" t="s">
        <v>1627</v>
      </c>
      <c r="D810" s="130">
        <v>90</v>
      </c>
      <c r="E810" s="51">
        <v>150</v>
      </c>
      <c r="F810" s="27">
        <v>5</v>
      </c>
      <c r="G810" s="41">
        <f>InventoryList[[#This Row],[NLC (NET LANDING COST]]*InventoryList[[#This Row],[Quantity in stock]]</f>
        <v>450</v>
      </c>
      <c r="H810" s="62"/>
      <c r="I810" s="22"/>
    </row>
    <row r="811" spans="1:9" ht="30" customHeight="1">
      <c r="A811" s="22">
        <v>752</v>
      </c>
      <c r="B811" s="26" t="s">
        <v>1646</v>
      </c>
      <c r="C811" s="26" t="s">
        <v>1628</v>
      </c>
      <c r="D811" s="130">
        <v>190</v>
      </c>
      <c r="E811" s="51">
        <v>300</v>
      </c>
      <c r="F811" s="27">
        <v>8</v>
      </c>
      <c r="G811" s="41">
        <f>InventoryList[[#This Row],[NLC (NET LANDING COST]]*InventoryList[[#This Row],[Quantity in stock]]</f>
        <v>1520</v>
      </c>
      <c r="H811" s="62"/>
      <c r="I811" s="22"/>
    </row>
    <row r="812" spans="1:9" ht="30" customHeight="1" thickBot="1">
      <c r="A812" s="22">
        <v>753</v>
      </c>
      <c r="B812" s="26" t="s">
        <v>1647</v>
      </c>
      <c r="C812" s="26" t="s">
        <v>1629</v>
      </c>
      <c r="D812" s="130">
        <v>650</v>
      </c>
      <c r="E812" s="51">
        <v>800</v>
      </c>
      <c r="F812" s="27">
        <v>12</v>
      </c>
      <c r="G812" s="41">
        <f>InventoryList[[#This Row],[NLC (NET LANDING COST]]*InventoryList[[#This Row],[Quantity in stock]]</f>
        <v>7800</v>
      </c>
      <c r="H812" s="62"/>
      <c r="I812" s="22"/>
    </row>
    <row r="813" spans="1:9" ht="30" customHeight="1" thickTop="1" thickBot="1">
      <c r="A813" s="108" t="s">
        <v>51</v>
      </c>
      <c r="B813" s="29" t="s">
        <v>1648</v>
      </c>
      <c r="C813" s="110" t="s">
        <v>525</v>
      </c>
      <c r="D813" s="138">
        <v>1300</v>
      </c>
      <c r="E813" s="111">
        <v>1300</v>
      </c>
      <c r="F813" s="111">
        <v>1</v>
      </c>
      <c r="G813" s="137">
        <v>1300</v>
      </c>
      <c r="H813" s="113"/>
      <c r="I813" s="22"/>
    </row>
    <row r="814" spans="1:9" ht="30" customHeight="1" thickTop="1">
      <c r="A814" s="22">
        <v>755</v>
      </c>
      <c r="B814" s="26" t="s">
        <v>1649</v>
      </c>
      <c r="C814" s="26" t="s">
        <v>1268</v>
      </c>
      <c r="D814" s="130">
        <v>185</v>
      </c>
      <c r="E814" s="51">
        <v>260</v>
      </c>
      <c r="F814" s="27">
        <v>5</v>
      </c>
      <c r="G814" s="41">
        <f>InventoryList[[#This Row],[NLC (NET LANDING COST]]*InventoryList[[#This Row],[Quantity in stock]]</f>
        <v>925</v>
      </c>
      <c r="H814" s="62"/>
      <c r="I814" s="22"/>
    </row>
    <row r="815" spans="1:9" ht="30" customHeight="1">
      <c r="A815" s="22">
        <v>756</v>
      </c>
      <c r="B815" s="26" t="s">
        <v>1650</v>
      </c>
      <c r="C815" s="26" t="s">
        <v>1651</v>
      </c>
      <c r="D815" s="130">
        <v>160</v>
      </c>
      <c r="E815" s="51">
        <v>230</v>
      </c>
      <c r="F815" s="27">
        <v>5</v>
      </c>
      <c r="G815" s="41">
        <f>InventoryList[[#This Row],[NLC (NET LANDING COST]]*InventoryList[[#This Row],[Quantity in stock]]</f>
        <v>800</v>
      </c>
      <c r="H815" s="62"/>
      <c r="I815" s="22"/>
    </row>
    <row r="816" spans="1:9" ht="30" customHeight="1">
      <c r="A816" s="22">
        <v>757</v>
      </c>
      <c r="B816" s="26" t="s">
        <v>1652</v>
      </c>
      <c r="C816" s="26" t="s">
        <v>1653</v>
      </c>
      <c r="D816" s="130">
        <v>155</v>
      </c>
      <c r="E816" s="51">
        <v>220</v>
      </c>
      <c r="F816" s="27">
        <v>5</v>
      </c>
      <c r="G816" s="41">
        <f>InventoryList[[#This Row],[NLC (NET LANDING COST]]*InventoryList[[#This Row],[Quantity in stock]]</f>
        <v>775</v>
      </c>
      <c r="H816" s="62"/>
      <c r="I816" s="22"/>
    </row>
    <row r="817" spans="1:9" ht="30" customHeight="1">
      <c r="A817" s="22">
        <v>758</v>
      </c>
      <c r="B817" s="26" t="s">
        <v>1654</v>
      </c>
      <c r="C817" s="26" t="s">
        <v>1655</v>
      </c>
      <c r="D817" s="130">
        <v>160</v>
      </c>
      <c r="E817" s="51">
        <v>230</v>
      </c>
      <c r="F817" s="27">
        <v>5</v>
      </c>
      <c r="G817" s="41">
        <f>InventoryList[[#This Row],[NLC (NET LANDING COST]]*InventoryList[[#This Row],[Quantity in stock]]</f>
        <v>800</v>
      </c>
      <c r="H817" s="62"/>
      <c r="I817" s="22"/>
    </row>
    <row r="818" spans="1:9" ht="30" customHeight="1">
      <c r="A818" s="22">
        <v>759</v>
      </c>
      <c r="B818" s="26" t="s">
        <v>1656</v>
      </c>
      <c r="C818" s="26" t="s">
        <v>1657</v>
      </c>
      <c r="D818" s="130">
        <v>160</v>
      </c>
      <c r="E818" s="51">
        <v>230</v>
      </c>
      <c r="F818" s="27">
        <v>5</v>
      </c>
      <c r="G818" s="41">
        <f>InventoryList[[#This Row],[NLC (NET LANDING COST]]*InventoryList[[#This Row],[Quantity in stock]]</f>
        <v>800</v>
      </c>
      <c r="H818" s="62"/>
      <c r="I818" s="22"/>
    </row>
    <row r="819" spans="1:9" ht="30" customHeight="1">
      <c r="A819" s="22">
        <v>760</v>
      </c>
      <c r="B819" s="26" t="s">
        <v>1658</v>
      </c>
      <c r="C819" s="26" t="s">
        <v>1659</v>
      </c>
      <c r="D819" s="130">
        <v>110</v>
      </c>
      <c r="E819" s="51">
        <v>160</v>
      </c>
      <c r="F819" s="27">
        <v>5</v>
      </c>
      <c r="G819" s="41">
        <f>InventoryList[[#This Row],[NLC (NET LANDING COST]]*InventoryList[[#This Row],[Quantity in stock]]</f>
        <v>550</v>
      </c>
      <c r="H819" s="62"/>
      <c r="I819" s="22"/>
    </row>
    <row r="820" spans="1:9" ht="30" customHeight="1">
      <c r="A820" s="22">
        <v>761</v>
      </c>
      <c r="B820" s="26" t="s">
        <v>1660</v>
      </c>
      <c r="C820" s="26" t="s">
        <v>1661</v>
      </c>
      <c r="D820" s="130">
        <v>170</v>
      </c>
      <c r="E820" s="51">
        <v>240</v>
      </c>
      <c r="F820" s="27">
        <v>5</v>
      </c>
      <c r="G820" s="41">
        <f>InventoryList[[#This Row],[NLC (NET LANDING COST]]*InventoryList[[#This Row],[Quantity in stock]]</f>
        <v>850</v>
      </c>
      <c r="H820" s="62"/>
      <c r="I820" s="22"/>
    </row>
    <row r="821" spans="1:9" ht="30" customHeight="1">
      <c r="A821" s="22">
        <v>762</v>
      </c>
      <c r="B821" s="26" t="s">
        <v>1662</v>
      </c>
      <c r="C821" s="26" t="s">
        <v>1663</v>
      </c>
      <c r="D821" s="130">
        <v>35</v>
      </c>
      <c r="E821" s="51">
        <v>65</v>
      </c>
      <c r="F821" s="27">
        <v>10</v>
      </c>
      <c r="G821" s="41">
        <f>InventoryList[[#This Row],[NLC (NET LANDING COST]]*InventoryList[[#This Row],[Quantity in stock]]</f>
        <v>350</v>
      </c>
      <c r="H821" s="62"/>
      <c r="I821" s="22"/>
    </row>
    <row r="822" spans="1:9" ht="30" customHeight="1">
      <c r="A822" s="22">
        <v>763</v>
      </c>
      <c r="B822" s="26" t="s">
        <v>1664</v>
      </c>
      <c r="C822" s="26" t="s">
        <v>1665</v>
      </c>
      <c r="D822" s="130">
        <v>20</v>
      </c>
      <c r="E822" s="51">
        <v>50</v>
      </c>
      <c r="F822" s="27">
        <v>10</v>
      </c>
      <c r="G822" s="41">
        <f>InventoryList[[#This Row],[NLC (NET LANDING COST]]*InventoryList[[#This Row],[Quantity in stock]]</f>
        <v>200</v>
      </c>
      <c r="H822" s="62"/>
      <c r="I822" s="22"/>
    </row>
    <row r="823" spans="1:9" ht="30" customHeight="1">
      <c r="A823" s="22">
        <v>764</v>
      </c>
      <c r="B823" s="26" t="s">
        <v>1666</v>
      </c>
      <c r="C823" s="26" t="s">
        <v>1667</v>
      </c>
      <c r="D823" s="130">
        <v>20</v>
      </c>
      <c r="E823" s="51">
        <v>50</v>
      </c>
      <c r="F823" s="27">
        <v>10</v>
      </c>
      <c r="G823" s="41">
        <f>InventoryList[[#This Row],[NLC (NET LANDING COST]]*InventoryList[[#This Row],[Quantity in stock]]</f>
        <v>200</v>
      </c>
      <c r="H823" s="62"/>
      <c r="I823" s="22"/>
    </row>
    <row r="824" spans="1:9" ht="30" customHeight="1">
      <c r="A824" s="22">
        <v>765</v>
      </c>
      <c r="B824" s="26" t="s">
        <v>1668</v>
      </c>
      <c r="C824" s="26" t="s">
        <v>1669</v>
      </c>
      <c r="D824" s="130">
        <v>40</v>
      </c>
      <c r="E824" s="51">
        <v>80</v>
      </c>
      <c r="F824" s="27">
        <v>10</v>
      </c>
      <c r="G824" s="41">
        <f>InventoryList[[#This Row],[NLC (NET LANDING COST]]*InventoryList[[#This Row],[Quantity in stock]]</f>
        <v>400</v>
      </c>
      <c r="H824" s="62"/>
      <c r="I824" s="22"/>
    </row>
    <row r="825" spans="1:9" ht="30" customHeight="1">
      <c r="A825" s="22">
        <v>766</v>
      </c>
      <c r="B825" s="26" t="s">
        <v>1670</v>
      </c>
      <c r="C825" s="26" t="s">
        <v>1671</v>
      </c>
      <c r="D825" s="130">
        <v>45</v>
      </c>
      <c r="E825" s="51">
        <v>90</v>
      </c>
      <c r="F825" s="27">
        <v>10</v>
      </c>
      <c r="G825" s="41">
        <f>InventoryList[[#This Row],[NLC (NET LANDING COST]]*InventoryList[[#This Row],[Quantity in stock]]</f>
        <v>450</v>
      </c>
      <c r="H825" s="62"/>
      <c r="I825" s="22"/>
    </row>
    <row r="826" spans="1:9" ht="30" customHeight="1">
      <c r="A826" s="22">
        <v>767</v>
      </c>
      <c r="B826" s="26" t="s">
        <v>1672</v>
      </c>
      <c r="C826" s="26" t="s">
        <v>1673</v>
      </c>
      <c r="D826" s="130">
        <v>1750</v>
      </c>
      <c r="E826" s="51">
        <v>2000</v>
      </c>
      <c r="F826" s="27">
        <v>10</v>
      </c>
      <c r="G826" s="41">
        <f>InventoryList[[#This Row],[NLC (NET LANDING COST]]*InventoryList[[#This Row],[Quantity in stock]]</f>
        <v>17500</v>
      </c>
      <c r="H826" s="62"/>
      <c r="I826" s="22"/>
    </row>
    <row r="827" spans="1:9" ht="30" customHeight="1">
      <c r="A827" s="22">
        <v>768</v>
      </c>
      <c r="B827" s="26" t="s">
        <v>1674</v>
      </c>
      <c r="C827" s="26" t="s">
        <v>1675</v>
      </c>
      <c r="D827" s="130">
        <v>105</v>
      </c>
      <c r="E827" s="51">
        <v>150</v>
      </c>
      <c r="F827" s="27">
        <v>50</v>
      </c>
      <c r="G827" s="41">
        <f>InventoryList[[#This Row],[NLC (NET LANDING COST]]*InventoryList[[#This Row],[Quantity in stock]]</f>
        <v>5250</v>
      </c>
      <c r="H827" s="62"/>
      <c r="I827" s="22"/>
    </row>
    <row r="828" spans="1:9" ht="30" customHeight="1">
      <c r="A828" s="22">
        <v>769</v>
      </c>
      <c r="B828" s="26" t="s">
        <v>1677</v>
      </c>
      <c r="C828" s="26" t="s">
        <v>1676</v>
      </c>
      <c r="D828" s="130">
        <v>3500</v>
      </c>
      <c r="E828" s="51">
        <v>4200</v>
      </c>
      <c r="F828" s="27">
        <v>2</v>
      </c>
      <c r="G828" s="41">
        <f>InventoryList[[#This Row],[NLC (NET LANDING COST]]*InventoryList[[#This Row],[Quantity in stock]]</f>
        <v>7000</v>
      </c>
      <c r="H828" s="62"/>
      <c r="I828" s="22"/>
    </row>
    <row r="829" spans="1:9" ht="30" customHeight="1">
      <c r="A829" s="22">
        <v>770</v>
      </c>
      <c r="B829" s="26" t="s">
        <v>1678</v>
      </c>
      <c r="C829" s="26" t="s">
        <v>1679</v>
      </c>
      <c r="D829" s="130">
        <v>325</v>
      </c>
      <c r="E829" s="51">
        <v>550</v>
      </c>
      <c r="F829" s="27">
        <v>5</v>
      </c>
      <c r="G829" s="41">
        <f>InventoryList[[#This Row],[NLC (NET LANDING COST]]*InventoryList[[#This Row],[Quantity in stock]]</f>
        <v>1625</v>
      </c>
      <c r="H829" s="62"/>
      <c r="I829" s="22"/>
    </row>
    <row r="830" spans="1:9" ht="30" customHeight="1">
      <c r="A830" s="22">
        <v>771</v>
      </c>
      <c r="B830" s="26" t="s">
        <v>1680</v>
      </c>
      <c r="C830" s="26" t="s">
        <v>1681</v>
      </c>
      <c r="D830" s="130">
        <v>115</v>
      </c>
      <c r="E830" s="51">
        <v>170</v>
      </c>
      <c r="F830" s="27">
        <v>7</v>
      </c>
      <c r="G830" s="41">
        <f>InventoryList[[#This Row],[NLC (NET LANDING COST]]*InventoryList[[#This Row],[Quantity in stock]]</f>
        <v>805</v>
      </c>
      <c r="H830" s="62"/>
      <c r="I830" s="22"/>
    </row>
    <row r="831" spans="1:9" ht="30" customHeight="1">
      <c r="A831" s="22">
        <v>772</v>
      </c>
      <c r="B831" s="26" t="s">
        <v>1686</v>
      </c>
      <c r="C831" s="26" t="s">
        <v>1682</v>
      </c>
      <c r="D831" s="130">
        <v>172.5</v>
      </c>
      <c r="E831" s="51">
        <v>200</v>
      </c>
      <c r="F831" s="27">
        <v>40</v>
      </c>
      <c r="G831" s="41">
        <f>InventoryList[[#This Row],[NLC (NET LANDING COST]]*InventoryList[[#This Row],[Quantity in stock]]</f>
        <v>6900</v>
      </c>
      <c r="H831" s="62"/>
      <c r="I831" s="22"/>
    </row>
    <row r="832" spans="1:9" ht="30" customHeight="1">
      <c r="A832" s="22">
        <v>773</v>
      </c>
      <c r="B832" s="26" t="s">
        <v>1700</v>
      </c>
      <c r="C832" s="26" t="s">
        <v>1683</v>
      </c>
      <c r="D832" s="130">
        <v>221</v>
      </c>
      <c r="E832" s="51">
        <v>325</v>
      </c>
      <c r="F832" s="27">
        <v>48</v>
      </c>
      <c r="G832" s="41">
        <f>InventoryList[[#This Row],[NLC (NET LANDING COST]]*InventoryList[[#This Row],[Quantity in stock]]</f>
        <v>10608</v>
      </c>
      <c r="H832" s="62"/>
      <c r="I832" s="22"/>
    </row>
    <row r="833" spans="1:9" ht="30" customHeight="1">
      <c r="A833" s="22">
        <v>774</v>
      </c>
      <c r="B833" s="26" t="s">
        <v>1701</v>
      </c>
      <c r="C833" s="26" t="s">
        <v>1684</v>
      </c>
      <c r="D833" s="130">
        <v>175</v>
      </c>
      <c r="E833" s="51">
        <v>300</v>
      </c>
      <c r="F833" s="27">
        <v>48</v>
      </c>
      <c r="G833" s="41">
        <f>InventoryList[[#This Row],[NLC (NET LANDING COST]]*InventoryList[[#This Row],[Quantity in stock]]</f>
        <v>8400</v>
      </c>
      <c r="H833" s="62"/>
      <c r="I833" s="22"/>
    </row>
    <row r="834" spans="1:9" ht="30" customHeight="1">
      <c r="A834" s="22">
        <v>775</v>
      </c>
      <c r="B834" s="26" t="s">
        <v>1702</v>
      </c>
      <c r="C834" s="26" t="s">
        <v>1685</v>
      </c>
      <c r="D834" s="130">
        <v>350</v>
      </c>
      <c r="E834" s="51">
        <v>400</v>
      </c>
      <c r="F834" s="27">
        <v>27</v>
      </c>
      <c r="G834" s="41">
        <f>InventoryList[[#This Row],[NLC (NET LANDING COST]]*InventoryList[[#This Row],[Quantity in stock]]</f>
        <v>9450</v>
      </c>
      <c r="H834" s="62"/>
      <c r="I834" s="22"/>
    </row>
    <row r="835" spans="1:9" ht="30" customHeight="1">
      <c r="A835" s="22">
        <v>776</v>
      </c>
      <c r="B835" s="26" t="s">
        <v>1703</v>
      </c>
      <c r="C835" s="26" t="s">
        <v>1682</v>
      </c>
      <c r="D835" s="130">
        <v>172.5</v>
      </c>
      <c r="E835" s="51">
        <v>200</v>
      </c>
      <c r="F835" s="27">
        <v>40</v>
      </c>
      <c r="G835" s="41">
        <f>InventoryList[[#This Row],[NLC (NET LANDING COST]]*InventoryList[[#This Row],[Quantity in stock]]</f>
        <v>6900</v>
      </c>
      <c r="H835" s="62"/>
      <c r="I835" s="22"/>
    </row>
    <row r="836" spans="1:9" ht="30" customHeight="1">
      <c r="A836" s="22">
        <v>777</v>
      </c>
      <c r="B836" s="26" t="s">
        <v>1704</v>
      </c>
      <c r="C836" s="26" t="s">
        <v>1687</v>
      </c>
      <c r="D836" s="130">
        <v>22</v>
      </c>
      <c r="E836" s="51">
        <v>30</v>
      </c>
      <c r="F836" s="27">
        <v>100</v>
      </c>
      <c r="G836" s="41">
        <f>InventoryList[[#This Row],[NLC (NET LANDING COST]]*InventoryList[[#This Row],[Quantity in stock]]</f>
        <v>2200</v>
      </c>
      <c r="H836" s="62"/>
      <c r="I836" s="22"/>
    </row>
    <row r="837" spans="1:9" ht="30" customHeight="1">
      <c r="A837" s="22">
        <v>778</v>
      </c>
      <c r="B837" s="26" t="s">
        <v>1705</v>
      </c>
      <c r="C837" s="26" t="s">
        <v>359</v>
      </c>
      <c r="D837" s="130">
        <v>52</v>
      </c>
      <c r="E837" s="51">
        <v>65</v>
      </c>
      <c r="F837" s="27">
        <v>50</v>
      </c>
      <c r="G837" s="41">
        <f>InventoryList[[#This Row],[NLC (NET LANDING COST]]*InventoryList[[#This Row],[Quantity in stock]]</f>
        <v>2600</v>
      </c>
      <c r="H837" s="62"/>
      <c r="I837" s="22"/>
    </row>
    <row r="838" spans="1:9" ht="30" customHeight="1">
      <c r="A838" s="22">
        <v>779</v>
      </c>
      <c r="B838" s="26" t="s">
        <v>1706</v>
      </c>
      <c r="C838" s="26" t="s">
        <v>955</v>
      </c>
      <c r="D838" s="130">
        <v>20</v>
      </c>
      <c r="E838" s="51">
        <v>30</v>
      </c>
      <c r="F838" s="27">
        <v>100</v>
      </c>
      <c r="G838" s="41">
        <f>InventoryList[[#This Row],[NLC (NET LANDING COST]]*InventoryList[[#This Row],[Quantity in stock]]</f>
        <v>2000</v>
      </c>
      <c r="H838" s="62"/>
      <c r="I838" s="22"/>
    </row>
    <row r="839" spans="1:9" ht="30" customHeight="1">
      <c r="A839" s="22">
        <v>780</v>
      </c>
      <c r="B839" s="26" t="s">
        <v>1707</v>
      </c>
      <c r="C839" s="26" t="s">
        <v>1688</v>
      </c>
      <c r="D839" s="130">
        <v>85</v>
      </c>
      <c r="E839" s="51">
        <v>120</v>
      </c>
      <c r="F839" s="27">
        <v>48</v>
      </c>
      <c r="G839" s="41">
        <f>InventoryList[[#This Row],[NLC (NET LANDING COST]]*InventoryList[[#This Row],[Quantity in stock]]</f>
        <v>4080</v>
      </c>
      <c r="H839" s="62"/>
      <c r="I839" s="22"/>
    </row>
    <row r="840" spans="1:9" ht="30" customHeight="1">
      <c r="A840" s="22">
        <v>781</v>
      </c>
      <c r="B840" s="26" t="s">
        <v>1708</v>
      </c>
      <c r="C840" s="26" t="s">
        <v>1689</v>
      </c>
      <c r="D840" s="130">
        <v>130</v>
      </c>
      <c r="E840" s="51">
        <v>200</v>
      </c>
      <c r="F840" s="27">
        <v>20</v>
      </c>
      <c r="G840" s="41">
        <f>InventoryList[[#This Row],[NLC (NET LANDING COST]]*InventoryList[[#This Row],[Quantity in stock]]</f>
        <v>2600</v>
      </c>
      <c r="H840" s="62"/>
      <c r="I840" s="22"/>
    </row>
    <row r="841" spans="1:9" ht="30" customHeight="1">
      <c r="A841" s="22">
        <v>782</v>
      </c>
      <c r="B841" s="26" t="s">
        <v>1709</v>
      </c>
      <c r="C841" s="26" t="s">
        <v>1690</v>
      </c>
      <c r="D841" s="130">
        <v>120</v>
      </c>
      <c r="E841" s="51">
        <v>250</v>
      </c>
      <c r="F841" s="27">
        <v>10</v>
      </c>
      <c r="G841" s="41">
        <f>InventoryList[[#This Row],[NLC (NET LANDING COST]]*InventoryList[[#This Row],[Quantity in stock]]</f>
        <v>1200</v>
      </c>
      <c r="H841" s="62"/>
      <c r="I841" s="22"/>
    </row>
    <row r="842" spans="1:9" ht="30" customHeight="1">
      <c r="A842" s="22">
        <v>783</v>
      </c>
      <c r="B842" s="26" t="s">
        <v>1710</v>
      </c>
      <c r="C842" s="26" t="s">
        <v>1691</v>
      </c>
      <c r="D842" s="130">
        <v>230</v>
      </c>
      <c r="E842" s="51">
        <v>400</v>
      </c>
      <c r="F842" s="27">
        <v>5</v>
      </c>
      <c r="G842" s="41">
        <f>InventoryList[[#This Row],[NLC (NET LANDING COST]]*InventoryList[[#This Row],[Quantity in stock]]</f>
        <v>1150</v>
      </c>
      <c r="H842" s="62"/>
      <c r="I842" s="22"/>
    </row>
    <row r="843" spans="1:9" ht="30" customHeight="1">
      <c r="A843" s="22">
        <v>784</v>
      </c>
      <c r="B843" s="26" t="s">
        <v>1711</v>
      </c>
      <c r="C843" s="26" t="s">
        <v>1692</v>
      </c>
      <c r="D843" s="130">
        <v>65</v>
      </c>
      <c r="E843" s="51">
        <v>120</v>
      </c>
      <c r="F843" s="27">
        <v>50</v>
      </c>
      <c r="G843" s="41">
        <f>InventoryList[[#This Row],[NLC (NET LANDING COST]]*InventoryList[[#This Row],[Quantity in stock]]</f>
        <v>3250</v>
      </c>
      <c r="H843" s="62"/>
      <c r="I843" s="22"/>
    </row>
    <row r="844" spans="1:9" ht="30" customHeight="1">
      <c r="A844" s="22">
        <v>785</v>
      </c>
      <c r="B844" s="26" t="s">
        <v>1712</v>
      </c>
      <c r="C844" s="26" t="s">
        <v>1693</v>
      </c>
      <c r="D844" s="130">
        <v>35</v>
      </c>
      <c r="E844" s="51">
        <v>80</v>
      </c>
      <c r="F844" s="27">
        <v>25</v>
      </c>
      <c r="G844" s="41">
        <f>InventoryList[[#This Row],[NLC (NET LANDING COST]]*InventoryList[[#This Row],[Quantity in stock]]</f>
        <v>875</v>
      </c>
      <c r="H844" s="62"/>
      <c r="I844" s="22"/>
    </row>
    <row r="845" spans="1:9" ht="30" customHeight="1">
      <c r="A845" s="22">
        <v>786</v>
      </c>
      <c r="B845" s="26" t="s">
        <v>1713</v>
      </c>
      <c r="C845" s="26" t="s">
        <v>1694</v>
      </c>
      <c r="D845" s="130">
        <v>160</v>
      </c>
      <c r="E845" s="51">
        <v>350</v>
      </c>
      <c r="F845" s="27">
        <v>10</v>
      </c>
      <c r="G845" s="41">
        <f>InventoryList[[#This Row],[NLC (NET LANDING COST]]*InventoryList[[#This Row],[Quantity in stock]]</f>
        <v>1600</v>
      </c>
      <c r="H845" s="62"/>
      <c r="I845" s="22"/>
    </row>
    <row r="846" spans="1:9" ht="30" customHeight="1">
      <c r="A846" s="22">
        <v>787</v>
      </c>
      <c r="B846" s="26" t="s">
        <v>1714</v>
      </c>
      <c r="C846" s="26" t="s">
        <v>1222</v>
      </c>
      <c r="D846" s="130">
        <v>140</v>
      </c>
      <c r="E846" s="51">
        <v>200</v>
      </c>
      <c r="F846" s="27">
        <v>20</v>
      </c>
      <c r="G846" s="41">
        <f>InventoryList[[#This Row],[NLC (NET LANDING COST]]*InventoryList[[#This Row],[Quantity in stock]]</f>
        <v>2800</v>
      </c>
      <c r="H846" s="62"/>
      <c r="I846" s="22"/>
    </row>
    <row r="847" spans="1:9" ht="30" customHeight="1">
      <c r="A847" s="22">
        <v>788</v>
      </c>
      <c r="B847" s="26" t="s">
        <v>1715</v>
      </c>
      <c r="C847" s="26" t="s">
        <v>1695</v>
      </c>
      <c r="D847" s="130">
        <v>250</v>
      </c>
      <c r="E847" s="51">
        <v>650</v>
      </c>
      <c r="F847" s="27">
        <v>10</v>
      </c>
      <c r="G847" s="41">
        <f>InventoryList[[#This Row],[NLC (NET LANDING COST]]*InventoryList[[#This Row],[Quantity in stock]]</f>
        <v>2500</v>
      </c>
      <c r="H847" s="62"/>
      <c r="I847" s="22"/>
    </row>
    <row r="848" spans="1:9" ht="30" customHeight="1">
      <c r="A848" s="22">
        <v>789</v>
      </c>
      <c r="B848" s="26" t="s">
        <v>1716</v>
      </c>
      <c r="C848" s="26" t="s">
        <v>1696</v>
      </c>
      <c r="D848" s="130">
        <v>160</v>
      </c>
      <c r="E848" s="51">
        <v>450</v>
      </c>
      <c r="F848" s="27">
        <v>5</v>
      </c>
      <c r="G848" s="41">
        <f>InventoryList[[#This Row],[NLC (NET LANDING COST]]*InventoryList[[#This Row],[Quantity in stock]]</f>
        <v>800</v>
      </c>
      <c r="H848" s="62"/>
      <c r="I848" s="22"/>
    </row>
    <row r="849" spans="1:9" ht="30" customHeight="1">
      <c r="A849" s="22">
        <v>790</v>
      </c>
      <c r="B849" s="26" t="s">
        <v>1717</v>
      </c>
      <c r="C849" s="26" t="s">
        <v>1697</v>
      </c>
      <c r="D849" s="130">
        <v>180</v>
      </c>
      <c r="E849" s="51">
        <v>600</v>
      </c>
      <c r="F849" s="27">
        <v>5</v>
      </c>
      <c r="G849" s="41">
        <f>InventoryList[[#This Row],[NLC (NET LANDING COST]]*InventoryList[[#This Row],[Quantity in stock]]</f>
        <v>900</v>
      </c>
      <c r="H849" s="62"/>
      <c r="I849" s="22"/>
    </row>
    <row r="850" spans="1:9" ht="30" customHeight="1" thickBot="1">
      <c r="A850" s="22">
        <v>791</v>
      </c>
      <c r="B850" s="26" t="s">
        <v>1718</v>
      </c>
      <c r="C850" s="26" t="s">
        <v>1698</v>
      </c>
      <c r="D850" s="130">
        <v>140</v>
      </c>
      <c r="E850" s="51">
        <v>450</v>
      </c>
      <c r="F850" s="27">
        <v>15</v>
      </c>
      <c r="G850" s="41">
        <f>InventoryList[[#This Row],[NLC (NET LANDING COST]]*InventoryList[[#This Row],[Quantity in stock]]</f>
        <v>2100</v>
      </c>
      <c r="H850" s="62"/>
      <c r="I850" s="22"/>
    </row>
    <row r="851" spans="1:9" ht="30" customHeight="1" thickTop="1" thickBot="1">
      <c r="A851" s="108" t="s">
        <v>51</v>
      </c>
      <c r="B851" s="29" t="s">
        <v>1699</v>
      </c>
      <c r="C851" s="110" t="s">
        <v>525</v>
      </c>
      <c r="D851" s="138">
        <v>1650</v>
      </c>
      <c r="E851" s="111">
        <v>1650</v>
      </c>
      <c r="F851" s="111">
        <v>1</v>
      </c>
      <c r="G851" s="137">
        <v>1650</v>
      </c>
      <c r="H851" s="113"/>
      <c r="I851" s="22"/>
    </row>
    <row r="852" spans="1:9" ht="30" customHeight="1" thickTop="1">
      <c r="A852" s="22">
        <v>793</v>
      </c>
      <c r="B852" s="26" t="s">
        <v>1728</v>
      </c>
      <c r="C852" s="26" t="s">
        <v>1719</v>
      </c>
      <c r="D852" s="130">
        <v>112.5</v>
      </c>
      <c r="E852" s="51">
        <v>170</v>
      </c>
      <c r="F852" s="27">
        <v>20</v>
      </c>
      <c r="G852" s="41">
        <f>InventoryList[[#This Row],[NLC (NET LANDING COST]]*InventoryList[[#This Row],[Quantity in stock]]</f>
        <v>2250</v>
      </c>
      <c r="H852" s="62"/>
      <c r="I852" s="22"/>
    </row>
    <row r="853" spans="1:9" ht="30" customHeight="1">
      <c r="A853" s="22">
        <v>794</v>
      </c>
      <c r="B853" s="26" t="s">
        <v>1729</v>
      </c>
      <c r="C853" s="26" t="s">
        <v>1720</v>
      </c>
      <c r="D853" s="130">
        <v>1700</v>
      </c>
      <c r="E853" s="51">
        <v>2050</v>
      </c>
      <c r="F853" s="27">
        <v>2</v>
      </c>
      <c r="G853" s="41">
        <f>InventoryList[[#This Row],[NLC (NET LANDING COST]]*InventoryList[[#This Row],[Quantity in stock]]</f>
        <v>3400</v>
      </c>
      <c r="H853" s="62"/>
      <c r="I853" s="22"/>
    </row>
    <row r="854" spans="1:9" ht="30" customHeight="1">
      <c r="A854" s="22">
        <v>795</v>
      </c>
      <c r="B854" s="26" t="s">
        <v>1730</v>
      </c>
      <c r="C854" s="26" t="s">
        <v>600</v>
      </c>
      <c r="D854" s="130">
        <v>22</v>
      </c>
      <c r="E854" s="51">
        <v>30</v>
      </c>
      <c r="F854" s="27">
        <v>150</v>
      </c>
      <c r="G854" s="41">
        <f>InventoryList[[#This Row],[NLC (NET LANDING COST]]*InventoryList[[#This Row],[Quantity in stock]]</f>
        <v>3300</v>
      </c>
      <c r="H854" s="62"/>
      <c r="I854" s="22"/>
    </row>
    <row r="855" spans="1:9" ht="30" customHeight="1">
      <c r="A855" s="22">
        <v>796</v>
      </c>
      <c r="B855" s="26" t="s">
        <v>1731</v>
      </c>
      <c r="C855" s="26" t="s">
        <v>1740</v>
      </c>
      <c r="D855" s="130">
        <v>850</v>
      </c>
      <c r="E855" s="51">
        <v>1050</v>
      </c>
      <c r="F855" s="27">
        <v>4</v>
      </c>
      <c r="G855" s="41">
        <f>InventoryList[[#This Row],[NLC (NET LANDING COST]]*InventoryList[[#This Row],[Quantity in stock]]</f>
        <v>3400</v>
      </c>
      <c r="H855" s="62"/>
      <c r="I855" s="22"/>
    </row>
    <row r="856" spans="1:9" ht="30" customHeight="1">
      <c r="A856" s="22">
        <v>797</v>
      </c>
      <c r="B856" s="26" t="s">
        <v>1732</v>
      </c>
      <c r="C856" s="26" t="s">
        <v>1721</v>
      </c>
      <c r="D856" s="130">
        <v>800</v>
      </c>
      <c r="E856" s="51">
        <v>1000</v>
      </c>
      <c r="F856" s="27">
        <v>6</v>
      </c>
      <c r="G856" s="41">
        <f>InventoryList[[#This Row],[NLC (NET LANDING COST]]*InventoryList[[#This Row],[Quantity in stock]]</f>
        <v>4800</v>
      </c>
      <c r="H856" s="62"/>
      <c r="I856" s="22"/>
    </row>
    <row r="857" spans="1:9" ht="30" customHeight="1">
      <c r="A857" s="22">
        <v>798</v>
      </c>
      <c r="B857" s="26" t="s">
        <v>1733</v>
      </c>
      <c r="C857" s="26" t="s">
        <v>489</v>
      </c>
      <c r="D857" s="130">
        <v>20</v>
      </c>
      <c r="E857" s="51">
        <v>50</v>
      </c>
      <c r="F857" s="27">
        <v>25</v>
      </c>
      <c r="G857" s="41">
        <f>InventoryList[[#This Row],[NLC (NET LANDING COST]]*InventoryList[[#This Row],[Quantity in stock]]</f>
        <v>500</v>
      </c>
      <c r="H857" s="62"/>
      <c r="I857" s="22"/>
    </row>
    <row r="858" spans="1:9" ht="30" customHeight="1">
      <c r="A858" s="22">
        <v>799</v>
      </c>
      <c r="B858" s="26" t="s">
        <v>1734</v>
      </c>
      <c r="C858" s="26" t="s">
        <v>1722</v>
      </c>
      <c r="D858" s="130">
        <v>35</v>
      </c>
      <c r="E858" s="51">
        <v>100</v>
      </c>
      <c r="F858" s="27">
        <v>10</v>
      </c>
      <c r="G858" s="41">
        <f>InventoryList[[#This Row],[NLC (NET LANDING COST]]*InventoryList[[#This Row],[Quantity in stock]]</f>
        <v>350</v>
      </c>
      <c r="H858" s="62"/>
      <c r="I858" s="22"/>
    </row>
    <row r="859" spans="1:9" ht="30" customHeight="1">
      <c r="A859" s="22">
        <v>800</v>
      </c>
      <c r="B859" s="26" t="s">
        <v>1735</v>
      </c>
      <c r="C859" s="26" t="s">
        <v>1723</v>
      </c>
      <c r="D859" s="130">
        <v>42</v>
      </c>
      <c r="E859" s="51">
        <v>100</v>
      </c>
      <c r="F859" s="27">
        <v>10</v>
      </c>
      <c r="G859" s="41">
        <f>InventoryList[[#This Row],[NLC (NET LANDING COST]]*InventoryList[[#This Row],[Quantity in stock]]</f>
        <v>420</v>
      </c>
      <c r="H859" s="62"/>
      <c r="I859" s="22"/>
    </row>
    <row r="860" spans="1:9" ht="30" customHeight="1">
      <c r="A860" s="22">
        <v>801</v>
      </c>
      <c r="B860" s="26" t="s">
        <v>1736</v>
      </c>
      <c r="C860" s="26" t="s">
        <v>1724</v>
      </c>
      <c r="D860" s="130">
        <v>28</v>
      </c>
      <c r="E860" s="51">
        <v>60</v>
      </c>
      <c r="F860" s="27">
        <v>5</v>
      </c>
      <c r="G860" s="41">
        <f>InventoryList[[#This Row],[NLC (NET LANDING COST]]*InventoryList[[#This Row],[Quantity in stock]]</f>
        <v>140</v>
      </c>
      <c r="H860" s="62"/>
      <c r="I860" s="22"/>
    </row>
    <row r="861" spans="1:9" ht="30" customHeight="1">
      <c r="A861" s="22">
        <v>802</v>
      </c>
      <c r="B861" s="26" t="s">
        <v>1737</v>
      </c>
      <c r="C861" s="26" t="s">
        <v>1725</v>
      </c>
      <c r="D861" s="130">
        <v>48</v>
      </c>
      <c r="E861" s="51">
        <v>90</v>
      </c>
      <c r="F861" s="27">
        <v>5</v>
      </c>
      <c r="G861" s="41">
        <f>InventoryList[[#This Row],[NLC (NET LANDING COST]]*InventoryList[[#This Row],[Quantity in stock]]</f>
        <v>240</v>
      </c>
      <c r="H861" s="62"/>
      <c r="I861" s="22"/>
    </row>
    <row r="862" spans="1:9" ht="30" customHeight="1">
      <c r="A862" s="22">
        <v>803</v>
      </c>
      <c r="B862" s="26" t="s">
        <v>1738</v>
      </c>
      <c r="C862" s="26" t="s">
        <v>1726</v>
      </c>
      <c r="D862" s="130">
        <v>60</v>
      </c>
      <c r="E862" s="51">
        <v>100</v>
      </c>
      <c r="F862" s="27">
        <v>5</v>
      </c>
      <c r="G862" s="41">
        <f>InventoryList[[#This Row],[NLC (NET LANDING COST]]*InventoryList[[#This Row],[Quantity in stock]]</f>
        <v>300</v>
      </c>
      <c r="H862" s="62"/>
      <c r="I862" s="22"/>
    </row>
    <row r="863" spans="1:9" ht="30" customHeight="1" thickBot="1">
      <c r="A863" s="22">
        <v>804</v>
      </c>
      <c r="B863" s="26" t="s">
        <v>1739</v>
      </c>
      <c r="C863" s="26" t="s">
        <v>1663</v>
      </c>
      <c r="D863" s="130">
        <v>35</v>
      </c>
      <c r="E863" s="51">
        <v>70</v>
      </c>
      <c r="F863" s="27">
        <v>5</v>
      </c>
      <c r="G863" s="41">
        <f>InventoryList[[#This Row],[NLC (NET LANDING COST]]*InventoryList[[#This Row],[Quantity in stock]]</f>
        <v>175</v>
      </c>
      <c r="H863" s="62"/>
      <c r="I863" s="22"/>
    </row>
    <row r="864" spans="1:9" ht="30" customHeight="1" thickTop="1" thickBot="1">
      <c r="A864" s="108" t="s">
        <v>51</v>
      </c>
      <c r="B864" s="29" t="s">
        <v>1727</v>
      </c>
      <c r="C864" s="110" t="s">
        <v>525</v>
      </c>
      <c r="D864" s="138">
        <v>600</v>
      </c>
      <c r="E864" s="111">
        <v>600</v>
      </c>
      <c r="F864" s="111">
        <v>1</v>
      </c>
      <c r="G864" s="137">
        <v>600</v>
      </c>
      <c r="H864" s="113"/>
      <c r="I864" s="22"/>
    </row>
    <row r="865" spans="1:9" ht="30" customHeight="1" thickTop="1">
      <c r="A865" s="22">
        <v>806</v>
      </c>
      <c r="B865" s="26" t="s">
        <v>1364</v>
      </c>
      <c r="C865" s="26" t="s">
        <v>815</v>
      </c>
      <c r="D865" s="130">
        <v>0</v>
      </c>
      <c r="E865" s="51">
        <v>-33.666666666666799</v>
      </c>
      <c r="F865" s="27">
        <v>0</v>
      </c>
      <c r="G865" s="41">
        <f>InventoryList[[#This Row],[NLC (NET LANDING COST]]*InventoryList[[#This Row],[Quantity in stock]]</f>
        <v>0</v>
      </c>
      <c r="H865" s="62"/>
      <c r="I865" s="22"/>
    </row>
    <row r="866" spans="1:9" ht="30" customHeight="1">
      <c r="A866" s="22">
        <v>807</v>
      </c>
      <c r="B866" s="26" t="s">
        <v>1365</v>
      </c>
      <c r="C866" s="26" t="s">
        <v>815</v>
      </c>
      <c r="D866" s="130">
        <v>0</v>
      </c>
      <c r="E866" s="51">
        <v>-34.000000000000099</v>
      </c>
      <c r="F866" s="27">
        <v>0</v>
      </c>
      <c r="G866" s="41">
        <f>InventoryList[[#This Row],[NLC (NET LANDING COST]]*InventoryList[[#This Row],[Quantity in stock]]</f>
        <v>0</v>
      </c>
      <c r="H866" s="62"/>
      <c r="I866" s="22"/>
    </row>
    <row r="867" spans="1:9" ht="30" customHeight="1">
      <c r="A867" s="22">
        <v>808</v>
      </c>
      <c r="B867" s="26" t="s">
        <v>1366</v>
      </c>
      <c r="C867" s="26" t="s">
        <v>815</v>
      </c>
      <c r="D867" s="130">
        <v>0</v>
      </c>
      <c r="E867" s="51">
        <v>-34.3333333333334</v>
      </c>
      <c r="F867" s="27">
        <v>0</v>
      </c>
      <c r="G867" s="41">
        <f>InventoryList[[#This Row],[NLC (NET LANDING COST]]*InventoryList[[#This Row],[Quantity in stock]]</f>
        <v>0</v>
      </c>
      <c r="H867" s="62"/>
      <c r="I867" s="22"/>
    </row>
    <row r="868" spans="1:9" ht="30" customHeight="1">
      <c r="A868" s="22">
        <v>809</v>
      </c>
      <c r="B868" s="26" t="s">
        <v>1367</v>
      </c>
      <c r="C868" s="26" t="s">
        <v>815</v>
      </c>
      <c r="D868" s="130">
        <v>0</v>
      </c>
      <c r="E868" s="51">
        <v>-34.666666666666799</v>
      </c>
      <c r="F868" s="27">
        <v>0</v>
      </c>
      <c r="G868" s="41">
        <f>InventoryList[[#This Row],[NLC (NET LANDING COST]]*InventoryList[[#This Row],[Quantity in stock]]</f>
        <v>0</v>
      </c>
      <c r="H868" s="62"/>
      <c r="I868" s="22"/>
    </row>
    <row r="869" spans="1:9" ht="30" customHeight="1">
      <c r="A869" s="22">
        <v>810</v>
      </c>
      <c r="B869" s="26" t="s">
        <v>1368</v>
      </c>
      <c r="C869" s="26" t="s">
        <v>815</v>
      </c>
      <c r="D869" s="130">
        <v>0</v>
      </c>
      <c r="E869" s="51">
        <v>-35.000000000000099</v>
      </c>
      <c r="F869" s="27">
        <v>0</v>
      </c>
      <c r="G869" s="41">
        <f>InventoryList[[#This Row],[NLC (NET LANDING COST]]*InventoryList[[#This Row],[Quantity in stock]]</f>
        <v>0</v>
      </c>
      <c r="H869" s="62"/>
      <c r="I869" s="22"/>
    </row>
    <row r="870" spans="1:9" ht="30" customHeight="1">
      <c r="A870" s="22">
        <v>811</v>
      </c>
      <c r="B870" s="26" t="s">
        <v>1369</v>
      </c>
      <c r="C870" s="26" t="s">
        <v>815</v>
      </c>
      <c r="D870" s="130">
        <v>0</v>
      </c>
      <c r="E870" s="51">
        <v>-35.3333333333334</v>
      </c>
      <c r="F870" s="27">
        <v>0</v>
      </c>
      <c r="G870" s="41">
        <f>InventoryList[[#This Row],[NLC (NET LANDING COST]]*InventoryList[[#This Row],[Quantity in stock]]</f>
        <v>0</v>
      </c>
      <c r="H870" s="62"/>
      <c r="I870" s="22"/>
    </row>
    <row r="871" spans="1:9" ht="30" customHeight="1">
      <c r="A871" s="22">
        <v>812</v>
      </c>
      <c r="B871" s="26" t="s">
        <v>1370</v>
      </c>
      <c r="C871" s="26" t="s">
        <v>815</v>
      </c>
      <c r="D871" s="130">
        <v>0</v>
      </c>
      <c r="E871" s="51">
        <v>-35.666666666666799</v>
      </c>
      <c r="F871" s="27">
        <v>0</v>
      </c>
      <c r="G871" s="41">
        <f>InventoryList[[#This Row],[NLC (NET LANDING COST]]*InventoryList[[#This Row],[Quantity in stock]]</f>
        <v>0</v>
      </c>
      <c r="H871" s="62"/>
      <c r="I871" s="22"/>
    </row>
    <row r="872" spans="1:9" ht="30" customHeight="1">
      <c r="A872" s="22">
        <v>813</v>
      </c>
      <c r="B872" s="26" t="s">
        <v>1371</v>
      </c>
      <c r="C872" s="26" t="s">
        <v>815</v>
      </c>
      <c r="D872" s="130">
        <v>0</v>
      </c>
      <c r="E872" s="51">
        <v>-36.000000000000099</v>
      </c>
      <c r="F872" s="27">
        <v>0</v>
      </c>
      <c r="G872" s="41">
        <f>InventoryList[[#This Row],[NLC (NET LANDING COST]]*InventoryList[[#This Row],[Quantity in stock]]</f>
        <v>0</v>
      </c>
      <c r="H872" s="62"/>
      <c r="I872" s="22"/>
    </row>
    <row r="873" spans="1:9" ht="30" customHeight="1">
      <c r="A873" s="22">
        <v>814</v>
      </c>
      <c r="B873" s="26" t="s">
        <v>1372</v>
      </c>
      <c r="C873" s="26" t="s">
        <v>815</v>
      </c>
      <c r="D873" s="130">
        <v>0</v>
      </c>
      <c r="E873" s="51">
        <v>-36.3333333333334</v>
      </c>
      <c r="F873" s="27">
        <v>0</v>
      </c>
      <c r="G873" s="41">
        <f>InventoryList[[#This Row],[NLC (NET LANDING COST]]*InventoryList[[#This Row],[Quantity in stock]]</f>
        <v>0</v>
      </c>
      <c r="H873" s="62"/>
      <c r="I873" s="22"/>
    </row>
    <row r="874" spans="1:9" ht="30" customHeight="1">
      <c r="A874" s="22">
        <v>815</v>
      </c>
      <c r="B874" s="26" t="s">
        <v>1373</v>
      </c>
      <c r="C874" s="26" t="s">
        <v>815</v>
      </c>
      <c r="D874" s="130">
        <v>0</v>
      </c>
      <c r="E874" s="51">
        <v>-36.666666666666799</v>
      </c>
      <c r="F874" s="27">
        <v>0</v>
      </c>
      <c r="G874" s="41">
        <f>InventoryList[[#This Row],[NLC (NET LANDING COST]]*InventoryList[[#This Row],[Quantity in stock]]</f>
        <v>0</v>
      </c>
      <c r="H874" s="62"/>
      <c r="I874" s="22"/>
    </row>
    <row r="875" spans="1:9" ht="30" customHeight="1">
      <c r="A875" s="22">
        <v>816</v>
      </c>
      <c r="B875" s="26" t="s">
        <v>1374</v>
      </c>
      <c r="C875" s="26" t="s">
        <v>815</v>
      </c>
      <c r="D875" s="130">
        <v>0</v>
      </c>
      <c r="E875" s="51">
        <v>-37.000000000000099</v>
      </c>
      <c r="F875" s="27">
        <v>0</v>
      </c>
      <c r="G875" s="41">
        <f>InventoryList[[#This Row],[NLC (NET LANDING COST]]*InventoryList[[#This Row],[Quantity in stock]]</f>
        <v>0</v>
      </c>
      <c r="H875" s="62"/>
      <c r="I875" s="22"/>
    </row>
    <row r="876" spans="1:9" ht="30" customHeight="1">
      <c r="A876" s="22">
        <v>817</v>
      </c>
      <c r="B876" s="26" t="s">
        <v>1375</v>
      </c>
      <c r="C876" s="26" t="s">
        <v>815</v>
      </c>
      <c r="D876" s="130">
        <v>0</v>
      </c>
      <c r="E876" s="51">
        <v>-37.3333333333334</v>
      </c>
      <c r="F876" s="27">
        <v>0</v>
      </c>
      <c r="G876" s="41">
        <f>InventoryList[[#This Row],[NLC (NET LANDING COST]]*InventoryList[[#This Row],[Quantity in stock]]</f>
        <v>0</v>
      </c>
      <c r="H876" s="62"/>
      <c r="I876" s="22"/>
    </row>
    <row r="877" spans="1:9" ht="30" customHeight="1">
      <c r="A877" s="22">
        <v>818</v>
      </c>
      <c r="B877" s="26" t="s">
        <v>1376</v>
      </c>
      <c r="C877" s="26" t="s">
        <v>815</v>
      </c>
      <c r="D877" s="130">
        <v>0</v>
      </c>
      <c r="E877" s="51">
        <v>-37.666666666666799</v>
      </c>
      <c r="F877" s="27">
        <v>0</v>
      </c>
      <c r="G877" s="41">
        <f>InventoryList[[#This Row],[NLC (NET LANDING COST]]*InventoryList[[#This Row],[Quantity in stock]]</f>
        <v>0</v>
      </c>
      <c r="H877" s="62"/>
      <c r="I877" s="22"/>
    </row>
    <row r="878" spans="1:9" ht="30" customHeight="1">
      <c r="A878" s="22">
        <v>819</v>
      </c>
      <c r="B878" s="26" t="s">
        <v>1377</v>
      </c>
      <c r="C878" s="26" t="s">
        <v>815</v>
      </c>
      <c r="D878" s="130">
        <v>0</v>
      </c>
      <c r="E878" s="51">
        <v>-38.000000000000099</v>
      </c>
      <c r="F878" s="27">
        <v>0</v>
      </c>
      <c r="G878" s="41">
        <f>InventoryList[[#This Row],[NLC (NET LANDING COST]]*InventoryList[[#This Row],[Quantity in stock]]</f>
        <v>0</v>
      </c>
      <c r="H878" s="62"/>
      <c r="I878" s="22"/>
    </row>
    <row r="879" spans="1:9" ht="30" customHeight="1">
      <c r="A879" s="22">
        <v>820</v>
      </c>
      <c r="B879" s="26" t="s">
        <v>1378</v>
      </c>
      <c r="C879" s="26" t="s">
        <v>815</v>
      </c>
      <c r="D879" s="130">
        <v>0</v>
      </c>
      <c r="E879" s="51">
        <v>-38.3333333333334</v>
      </c>
      <c r="F879" s="27">
        <v>0</v>
      </c>
      <c r="G879" s="41">
        <f>InventoryList[[#This Row],[NLC (NET LANDING COST]]*InventoryList[[#This Row],[Quantity in stock]]</f>
        <v>0</v>
      </c>
      <c r="H879" s="62"/>
      <c r="I879" s="22"/>
    </row>
    <row r="880" spans="1:9" ht="30" customHeight="1">
      <c r="A880" s="22">
        <v>821</v>
      </c>
      <c r="B880" s="26" t="s">
        <v>1379</v>
      </c>
      <c r="C880" s="26" t="s">
        <v>815</v>
      </c>
      <c r="D880" s="130">
        <v>0</v>
      </c>
      <c r="E880" s="51">
        <v>-38.666666666666799</v>
      </c>
      <c r="F880" s="27">
        <v>0</v>
      </c>
      <c r="G880" s="41">
        <f>InventoryList[[#This Row],[NLC (NET LANDING COST]]*InventoryList[[#This Row],[Quantity in stock]]</f>
        <v>0</v>
      </c>
      <c r="H880" s="62"/>
      <c r="I880" s="22"/>
    </row>
    <row r="881" spans="1:9" ht="30" customHeight="1">
      <c r="A881" s="22">
        <v>822</v>
      </c>
      <c r="B881" s="26" t="s">
        <v>1380</v>
      </c>
      <c r="C881" s="26" t="s">
        <v>815</v>
      </c>
      <c r="D881" s="130">
        <v>0</v>
      </c>
      <c r="E881" s="51">
        <v>-39.000000000000099</v>
      </c>
      <c r="F881" s="27">
        <v>0</v>
      </c>
      <c r="G881" s="41">
        <f>InventoryList[[#This Row],[NLC (NET LANDING COST]]*InventoryList[[#This Row],[Quantity in stock]]</f>
        <v>0</v>
      </c>
      <c r="H881" s="62"/>
      <c r="I881" s="22"/>
    </row>
    <row r="882" spans="1:9" ht="30" customHeight="1">
      <c r="A882" s="22">
        <v>823</v>
      </c>
      <c r="B882" s="26" t="s">
        <v>1381</v>
      </c>
      <c r="C882" s="26" t="s">
        <v>815</v>
      </c>
      <c r="D882" s="130">
        <v>0</v>
      </c>
      <c r="E882" s="51">
        <v>-39.3333333333334</v>
      </c>
      <c r="F882" s="27">
        <v>0</v>
      </c>
      <c r="G882" s="41">
        <f>InventoryList[[#This Row],[NLC (NET LANDING COST]]*InventoryList[[#This Row],[Quantity in stock]]</f>
        <v>0</v>
      </c>
      <c r="H882" s="62"/>
      <c r="I882" s="22"/>
    </row>
    <row r="883" spans="1:9" ht="30" customHeight="1">
      <c r="A883" s="22">
        <v>824</v>
      </c>
      <c r="B883" s="26" t="s">
        <v>1382</v>
      </c>
      <c r="C883" s="26" t="s">
        <v>815</v>
      </c>
      <c r="D883" s="130">
        <v>0</v>
      </c>
      <c r="E883" s="51">
        <v>-39.666666666666799</v>
      </c>
      <c r="F883" s="27">
        <v>0</v>
      </c>
      <c r="G883" s="41">
        <f>InventoryList[[#This Row],[NLC (NET LANDING COST]]*InventoryList[[#This Row],[Quantity in stock]]</f>
        <v>0</v>
      </c>
      <c r="H883" s="62"/>
      <c r="I883" s="22"/>
    </row>
    <row r="884" spans="1:9" ht="30" customHeight="1">
      <c r="A884" s="22">
        <v>825</v>
      </c>
      <c r="B884" s="26" t="s">
        <v>1383</v>
      </c>
      <c r="C884" s="26" t="s">
        <v>815</v>
      </c>
      <c r="D884" s="130">
        <v>0</v>
      </c>
      <c r="E884" s="51">
        <v>-40.000000000000099</v>
      </c>
      <c r="F884" s="27">
        <v>0</v>
      </c>
      <c r="G884" s="41">
        <f>InventoryList[[#This Row],[NLC (NET LANDING COST]]*InventoryList[[#This Row],[Quantity in stock]]</f>
        <v>0</v>
      </c>
      <c r="H884" s="62"/>
      <c r="I884" s="22"/>
    </row>
    <row r="885" spans="1:9" ht="30" customHeight="1">
      <c r="A885" s="22">
        <v>826</v>
      </c>
      <c r="B885" s="26" t="s">
        <v>1384</v>
      </c>
      <c r="C885" s="26" t="s">
        <v>815</v>
      </c>
      <c r="D885" s="130">
        <v>0</v>
      </c>
      <c r="E885" s="51">
        <v>-40.3333333333334</v>
      </c>
      <c r="F885" s="27">
        <v>0</v>
      </c>
      <c r="G885" s="41">
        <f>InventoryList[[#This Row],[NLC (NET LANDING COST]]*InventoryList[[#This Row],[Quantity in stock]]</f>
        <v>0</v>
      </c>
      <c r="H885" s="62"/>
      <c r="I885" s="22"/>
    </row>
    <row r="886" spans="1:9" ht="30" customHeight="1">
      <c r="A886" s="22">
        <v>827</v>
      </c>
      <c r="B886" s="26" t="s">
        <v>1385</v>
      </c>
      <c r="C886" s="26" t="s">
        <v>815</v>
      </c>
      <c r="D886" s="130">
        <v>0</v>
      </c>
      <c r="E886" s="51">
        <v>-40.666666666666799</v>
      </c>
      <c r="F886" s="27">
        <v>0</v>
      </c>
      <c r="G886" s="41">
        <f>InventoryList[[#This Row],[NLC (NET LANDING COST]]*InventoryList[[#This Row],[Quantity in stock]]</f>
        <v>0</v>
      </c>
      <c r="H886" s="62"/>
      <c r="I886" s="22"/>
    </row>
    <row r="887" spans="1:9" ht="30" customHeight="1">
      <c r="A887" s="22">
        <v>828</v>
      </c>
      <c r="B887" s="26" t="s">
        <v>1386</v>
      </c>
      <c r="C887" s="26" t="s">
        <v>815</v>
      </c>
      <c r="D887" s="130">
        <v>0</v>
      </c>
      <c r="E887" s="51">
        <v>-41.000000000000099</v>
      </c>
      <c r="F887" s="27">
        <v>0</v>
      </c>
      <c r="G887" s="41">
        <f>InventoryList[[#This Row],[NLC (NET LANDING COST]]*InventoryList[[#This Row],[Quantity in stock]]</f>
        <v>0</v>
      </c>
      <c r="H887" s="62"/>
      <c r="I887" s="22"/>
    </row>
    <row r="888" spans="1:9" ht="30" customHeight="1">
      <c r="A888" s="22">
        <v>829</v>
      </c>
      <c r="B888" s="26" t="s">
        <v>1387</v>
      </c>
      <c r="C888" s="26" t="s">
        <v>815</v>
      </c>
      <c r="D888" s="130">
        <v>0</v>
      </c>
      <c r="E888" s="51">
        <v>-41.3333333333334</v>
      </c>
      <c r="F888" s="27">
        <v>0</v>
      </c>
      <c r="G888" s="41">
        <f>InventoryList[[#This Row],[NLC (NET LANDING COST]]*InventoryList[[#This Row],[Quantity in stock]]</f>
        <v>0</v>
      </c>
      <c r="H888" s="62"/>
      <c r="I888" s="22"/>
    </row>
    <row r="889" spans="1:9" ht="30" customHeight="1">
      <c r="A889" s="22">
        <v>830</v>
      </c>
      <c r="B889" s="26" t="s">
        <v>1388</v>
      </c>
      <c r="C889" s="26" t="s">
        <v>815</v>
      </c>
      <c r="D889" s="130">
        <v>0</v>
      </c>
      <c r="E889" s="51">
        <v>-41.666666666666799</v>
      </c>
      <c r="F889" s="27">
        <v>0</v>
      </c>
      <c r="G889" s="41">
        <f>InventoryList[[#This Row],[NLC (NET LANDING COST]]*InventoryList[[#This Row],[Quantity in stock]]</f>
        <v>0</v>
      </c>
      <c r="H889" s="62"/>
      <c r="I889" s="22"/>
    </row>
    <row r="890" spans="1:9" ht="30" customHeight="1">
      <c r="A890" s="22">
        <v>831</v>
      </c>
      <c r="B890" s="26" t="s">
        <v>1389</v>
      </c>
      <c r="C890" s="26" t="s">
        <v>815</v>
      </c>
      <c r="D890" s="130">
        <v>0</v>
      </c>
      <c r="E890" s="51">
        <v>-42.000000000000099</v>
      </c>
      <c r="F890" s="27">
        <v>0</v>
      </c>
      <c r="G890" s="41">
        <f>InventoryList[[#This Row],[NLC (NET LANDING COST]]*InventoryList[[#This Row],[Quantity in stock]]</f>
        <v>0</v>
      </c>
      <c r="H890" s="62"/>
      <c r="I890" s="22"/>
    </row>
    <row r="891" spans="1:9" ht="30" customHeight="1">
      <c r="A891" s="22">
        <v>832</v>
      </c>
      <c r="B891" s="26" t="s">
        <v>1390</v>
      </c>
      <c r="C891" s="26" t="s">
        <v>815</v>
      </c>
      <c r="D891" s="130">
        <v>0</v>
      </c>
      <c r="E891" s="51">
        <v>-42.3333333333334</v>
      </c>
      <c r="F891" s="27">
        <v>0</v>
      </c>
      <c r="G891" s="41">
        <f>InventoryList[[#This Row],[NLC (NET LANDING COST]]*InventoryList[[#This Row],[Quantity in stock]]</f>
        <v>0</v>
      </c>
      <c r="H891" s="62"/>
      <c r="I891" s="22"/>
    </row>
    <row r="892" spans="1:9" ht="30" customHeight="1">
      <c r="A892" s="22">
        <v>833</v>
      </c>
      <c r="B892" s="26" t="s">
        <v>1391</v>
      </c>
      <c r="C892" s="26" t="s">
        <v>815</v>
      </c>
      <c r="D892" s="130">
        <v>0</v>
      </c>
      <c r="E892" s="51">
        <v>-42.666666666666799</v>
      </c>
      <c r="F892" s="27">
        <v>0</v>
      </c>
      <c r="G892" s="41">
        <f>InventoryList[[#This Row],[NLC (NET LANDING COST]]*InventoryList[[#This Row],[Quantity in stock]]</f>
        <v>0</v>
      </c>
      <c r="H892" s="62"/>
      <c r="I892" s="22"/>
    </row>
    <row r="893" spans="1:9" ht="30" customHeight="1">
      <c r="A893" s="22">
        <v>834</v>
      </c>
      <c r="B893" s="26" t="s">
        <v>1392</v>
      </c>
      <c r="C893" s="26" t="s">
        <v>815</v>
      </c>
      <c r="D893" s="130">
        <v>0</v>
      </c>
      <c r="E893" s="51">
        <v>-43.000000000000099</v>
      </c>
      <c r="F893" s="27">
        <v>0</v>
      </c>
      <c r="G893" s="41">
        <f>InventoryList[[#This Row],[NLC (NET LANDING COST]]*InventoryList[[#This Row],[Quantity in stock]]</f>
        <v>0</v>
      </c>
      <c r="H893" s="62"/>
      <c r="I893" s="22"/>
    </row>
    <row r="894" spans="1:9" ht="30" customHeight="1">
      <c r="A894" s="22">
        <v>835</v>
      </c>
      <c r="B894" s="26" t="s">
        <v>1393</v>
      </c>
      <c r="C894" s="26" t="s">
        <v>815</v>
      </c>
      <c r="D894" s="130">
        <v>0</v>
      </c>
      <c r="E894" s="51">
        <v>-43.3333333333334</v>
      </c>
      <c r="F894" s="27">
        <v>0</v>
      </c>
      <c r="G894" s="41">
        <f>InventoryList[[#This Row],[NLC (NET LANDING COST]]*InventoryList[[#This Row],[Quantity in stock]]</f>
        <v>0</v>
      </c>
      <c r="H894" s="62"/>
      <c r="I894" s="22"/>
    </row>
    <row r="895" spans="1:9" ht="30" customHeight="1">
      <c r="A895" s="22">
        <v>836</v>
      </c>
      <c r="B895" s="26" t="s">
        <v>1394</v>
      </c>
      <c r="C895" s="26" t="s">
        <v>815</v>
      </c>
      <c r="D895" s="130">
        <v>0</v>
      </c>
      <c r="E895" s="51">
        <v>-43.666666666666799</v>
      </c>
      <c r="F895" s="27">
        <v>0</v>
      </c>
      <c r="G895" s="41">
        <f>InventoryList[[#This Row],[NLC (NET LANDING COST]]*InventoryList[[#This Row],[Quantity in stock]]</f>
        <v>0</v>
      </c>
      <c r="H895" s="62"/>
      <c r="I895" s="22"/>
    </row>
    <row r="896" spans="1:9" ht="30" customHeight="1">
      <c r="A896" s="22">
        <v>837</v>
      </c>
      <c r="B896" s="26" t="s">
        <v>1395</v>
      </c>
      <c r="C896" s="26" t="s">
        <v>815</v>
      </c>
      <c r="D896" s="130">
        <v>0</v>
      </c>
      <c r="E896" s="51">
        <v>-44.000000000000099</v>
      </c>
      <c r="F896" s="27">
        <v>0</v>
      </c>
      <c r="G896" s="41">
        <f>InventoryList[[#This Row],[NLC (NET LANDING COST]]*InventoryList[[#This Row],[Quantity in stock]]</f>
        <v>0</v>
      </c>
      <c r="H896" s="62"/>
      <c r="I896" s="22"/>
    </row>
    <row r="897" spans="1:9" ht="30" customHeight="1">
      <c r="A897" s="22">
        <v>838</v>
      </c>
      <c r="B897" s="26" t="s">
        <v>1396</v>
      </c>
      <c r="C897" s="26" t="s">
        <v>815</v>
      </c>
      <c r="D897" s="130">
        <v>0</v>
      </c>
      <c r="E897" s="51">
        <v>-44.333333333333499</v>
      </c>
      <c r="F897" s="27">
        <v>0</v>
      </c>
      <c r="G897" s="41">
        <f>InventoryList[[#This Row],[NLC (NET LANDING COST]]*InventoryList[[#This Row],[Quantity in stock]]</f>
        <v>0</v>
      </c>
      <c r="H897" s="62"/>
      <c r="I897" s="22"/>
    </row>
    <row r="898" spans="1:9" ht="30" customHeight="1">
      <c r="A898" s="22">
        <v>839</v>
      </c>
      <c r="B898" s="26" t="s">
        <v>1397</v>
      </c>
      <c r="C898" s="26" t="s">
        <v>815</v>
      </c>
      <c r="D898" s="130">
        <v>0</v>
      </c>
      <c r="E898" s="51">
        <v>-44.666666666666799</v>
      </c>
      <c r="F898" s="27">
        <v>0</v>
      </c>
      <c r="G898" s="41">
        <f>InventoryList[[#This Row],[NLC (NET LANDING COST]]*InventoryList[[#This Row],[Quantity in stock]]</f>
        <v>0</v>
      </c>
      <c r="H898" s="62"/>
      <c r="I898" s="22"/>
    </row>
    <row r="899" spans="1:9" ht="30" customHeight="1">
      <c r="A899" s="22">
        <v>840</v>
      </c>
      <c r="B899" s="26" t="s">
        <v>1398</v>
      </c>
      <c r="C899" s="26" t="s">
        <v>815</v>
      </c>
      <c r="D899" s="130">
        <v>0</v>
      </c>
      <c r="E899" s="51">
        <v>-45.000000000000099</v>
      </c>
      <c r="F899" s="27">
        <v>0</v>
      </c>
      <c r="G899" s="41">
        <f>InventoryList[[#This Row],[NLC (NET LANDING COST]]*InventoryList[[#This Row],[Quantity in stock]]</f>
        <v>0</v>
      </c>
      <c r="H899" s="62"/>
      <c r="I899" s="22"/>
    </row>
    <row r="900" spans="1:9" ht="30" customHeight="1">
      <c r="A900" s="22">
        <v>841</v>
      </c>
      <c r="B900" s="26" t="s">
        <v>1399</v>
      </c>
      <c r="C900" s="26" t="s">
        <v>815</v>
      </c>
      <c r="D900" s="130">
        <v>0</v>
      </c>
      <c r="E900" s="51">
        <v>-45.333333333333499</v>
      </c>
      <c r="F900" s="27">
        <v>0</v>
      </c>
      <c r="G900" s="41">
        <f>InventoryList[[#This Row],[NLC (NET LANDING COST]]*InventoryList[[#This Row],[Quantity in stock]]</f>
        <v>0</v>
      </c>
      <c r="H900" s="62"/>
      <c r="I900" s="22"/>
    </row>
    <row r="901" spans="1:9" ht="30" customHeight="1">
      <c r="A901" s="22">
        <v>842</v>
      </c>
      <c r="B901" s="26" t="s">
        <v>1400</v>
      </c>
      <c r="C901" s="26" t="s">
        <v>815</v>
      </c>
      <c r="D901" s="130">
        <v>0</v>
      </c>
      <c r="E901" s="51">
        <v>-45.666666666666799</v>
      </c>
      <c r="F901" s="27">
        <v>0</v>
      </c>
      <c r="G901" s="41">
        <f>InventoryList[[#This Row],[NLC (NET LANDING COST]]*InventoryList[[#This Row],[Quantity in stock]]</f>
        <v>0</v>
      </c>
      <c r="H901" s="62"/>
      <c r="I901" s="22"/>
    </row>
    <row r="902" spans="1:9" ht="30" customHeight="1">
      <c r="A902" s="22">
        <v>843</v>
      </c>
      <c r="B902" s="26" t="s">
        <v>1401</v>
      </c>
      <c r="C902" s="26" t="s">
        <v>815</v>
      </c>
      <c r="D902" s="130">
        <v>0</v>
      </c>
      <c r="E902" s="51">
        <v>-46.000000000000099</v>
      </c>
      <c r="F902" s="27">
        <v>0</v>
      </c>
      <c r="G902" s="41">
        <f>InventoryList[[#This Row],[NLC (NET LANDING COST]]*InventoryList[[#This Row],[Quantity in stock]]</f>
        <v>0</v>
      </c>
      <c r="H902" s="62"/>
      <c r="I902" s="22"/>
    </row>
    <row r="903" spans="1:9" ht="30" customHeight="1">
      <c r="A903" s="22">
        <v>844</v>
      </c>
      <c r="B903" s="26" t="s">
        <v>1402</v>
      </c>
      <c r="C903" s="26" t="s">
        <v>815</v>
      </c>
      <c r="D903" s="130">
        <v>0</v>
      </c>
      <c r="E903" s="51">
        <v>-46.333333333333499</v>
      </c>
      <c r="F903" s="27">
        <v>0</v>
      </c>
      <c r="G903" s="41">
        <f>InventoryList[[#This Row],[NLC (NET LANDING COST]]*InventoryList[[#This Row],[Quantity in stock]]</f>
        <v>0</v>
      </c>
      <c r="H903" s="62"/>
      <c r="I903" s="22"/>
    </row>
    <row r="904" spans="1:9" ht="30" customHeight="1">
      <c r="A904" s="22">
        <v>845</v>
      </c>
      <c r="B904" s="26" t="s">
        <v>1403</v>
      </c>
      <c r="C904" s="26" t="s">
        <v>815</v>
      </c>
      <c r="D904" s="130">
        <v>0</v>
      </c>
      <c r="E904" s="51">
        <v>-46.666666666666799</v>
      </c>
      <c r="F904" s="27">
        <v>0</v>
      </c>
      <c r="G904" s="41">
        <f>InventoryList[[#This Row],[NLC (NET LANDING COST]]*InventoryList[[#This Row],[Quantity in stock]]</f>
        <v>0</v>
      </c>
      <c r="H904" s="62"/>
      <c r="I904" s="22"/>
    </row>
    <row r="905" spans="1:9" ht="30" customHeight="1">
      <c r="A905" s="22">
        <v>846</v>
      </c>
      <c r="B905" s="26" t="s">
        <v>1404</v>
      </c>
      <c r="C905" s="26" t="s">
        <v>815</v>
      </c>
      <c r="D905" s="130">
        <v>0</v>
      </c>
      <c r="E905" s="51">
        <v>-47.000000000000099</v>
      </c>
      <c r="F905" s="27">
        <v>0</v>
      </c>
      <c r="G905" s="41">
        <f>InventoryList[[#This Row],[NLC (NET LANDING COST]]*InventoryList[[#This Row],[Quantity in stock]]</f>
        <v>0</v>
      </c>
      <c r="H905" s="62"/>
      <c r="I905" s="22"/>
    </row>
    <row r="906" spans="1:9" ht="30" customHeight="1">
      <c r="A906" s="22">
        <v>847</v>
      </c>
      <c r="B906" s="26" t="s">
        <v>1405</v>
      </c>
      <c r="C906" s="26" t="s">
        <v>815</v>
      </c>
      <c r="D906" s="130">
        <v>0</v>
      </c>
      <c r="E906" s="51">
        <v>-47.333333333333499</v>
      </c>
      <c r="F906" s="27">
        <v>0</v>
      </c>
      <c r="G906" s="41">
        <f>InventoryList[[#This Row],[NLC (NET LANDING COST]]*InventoryList[[#This Row],[Quantity in stock]]</f>
        <v>0</v>
      </c>
      <c r="H906" s="62"/>
      <c r="I906" s="22"/>
    </row>
    <row r="907" spans="1:9" ht="30" customHeight="1">
      <c r="A907" s="22">
        <v>848</v>
      </c>
      <c r="B907" s="26" t="s">
        <v>1406</v>
      </c>
      <c r="C907" s="26" t="s">
        <v>815</v>
      </c>
      <c r="D907" s="130">
        <v>0</v>
      </c>
      <c r="E907" s="51">
        <v>-47.666666666666799</v>
      </c>
      <c r="F907" s="27">
        <v>0</v>
      </c>
      <c r="G907" s="41">
        <f>InventoryList[[#This Row],[NLC (NET LANDING COST]]*InventoryList[[#This Row],[Quantity in stock]]</f>
        <v>0</v>
      </c>
      <c r="H907" s="62"/>
      <c r="I907" s="22"/>
    </row>
    <row r="908" spans="1:9" ht="30" customHeight="1">
      <c r="A908" s="22">
        <v>849</v>
      </c>
      <c r="B908" s="26" t="s">
        <v>1407</v>
      </c>
      <c r="C908" s="26" t="s">
        <v>815</v>
      </c>
      <c r="D908" s="130">
        <v>0</v>
      </c>
      <c r="E908" s="51">
        <v>-48.000000000000099</v>
      </c>
      <c r="F908" s="27">
        <v>0</v>
      </c>
      <c r="G908" s="41">
        <f>InventoryList[[#This Row],[NLC (NET LANDING COST]]*InventoryList[[#This Row],[Quantity in stock]]</f>
        <v>0</v>
      </c>
      <c r="H908" s="62"/>
      <c r="I908" s="22"/>
    </row>
    <row r="909" spans="1:9" ht="30" customHeight="1">
      <c r="A909" s="22">
        <v>850</v>
      </c>
      <c r="B909" s="26" t="s">
        <v>1408</v>
      </c>
      <c r="C909" s="26" t="s">
        <v>815</v>
      </c>
      <c r="D909" s="130">
        <v>0</v>
      </c>
      <c r="E909" s="51">
        <v>-48.333333333333499</v>
      </c>
      <c r="F909" s="27">
        <v>0</v>
      </c>
      <c r="G909" s="41">
        <f>InventoryList[[#This Row],[NLC (NET LANDING COST]]*InventoryList[[#This Row],[Quantity in stock]]</f>
        <v>0</v>
      </c>
      <c r="H909" s="62"/>
      <c r="I909" s="22"/>
    </row>
    <row r="910" spans="1:9" ht="30" customHeight="1">
      <c r="A910" s="22">
        <v>851</v>
      </c>
      <c r="B910" s="26" t="s">
        <v>1409</v>
      </c>
      <c r="C910" s="26" t="s">
        <v>815</v>
      </c>
      <c r="D910" s="130">
        <v>0</v>
      </c>
      <c r="E910" s="51">
        <v>-48.666666666666799</v>
      </c>
      <c r="F910" s="27">
        <v>0</v>
      </c>
      <c r="G910" s="41">
        <f>InventoryList[[#This Row],[NLC (NET LANDING COST]]*InventoryList[[#This Row],[Quantity in stock]]</f>
        <v>0</v>
      </c>
      <c r="H910" s="62"/>
      <c r="I910" s="22"/>
    </row>
    <row r="911" spans="1:9" ht="30" customHeight="1">
      <c r="A911" s="22">
        <v>852</v>
      </c>
      <c r="B911" s="26" t="s">
        <v>1410</v>
      </c>
      <c r="C911" s="26" t="s">
        <v>815</v>
      </c>
      <c r="D911" s="130">
        <v>0</v>
      </c>
      <c r="E911" s="51">
        <v>-49.000000000000099</v>
      </c>
      <c r="F911" s="27">
        <v>0</v>
      </c>
      <c r="G911" s="41">
        <f>InventoryList[[#This Row],[NLC (NET LANDING COST]]*InventoryList[[#This Row],[Quantity in stock]]</f>
        <v>0</v>
      </c>
      <c r="H911" s="62"/>
      <c r="I911" s="22"/>
    </row>
    <row r="912" spans="1:9" ht="30" customHeight="1">
      <c r="A912" s="22">
        <v>853</v>
      </c>
      <c r="B912" s="26" t="s">
        <v>1411</v>
      </c>
      <c r="C912" s="26" t="s">
        <v>815</v>
      </c>
      <c r="D912" s="130">
        <v>0</v>
      </c>
      <c r="E912" s="51">
        <v>-49.333333333333499</v>
      </c>
      <c r="F912" s="27">
        <v>0</v>
      </c>
      <c r="G912" s="41">
        <f>InventoryList[[#This Row],[NLC (NET LANDING COST]]*InventoryList[[#This Row],[Quantity in stock]]</f>
        <v>0</v>
      </c>
      <c r="H912" s="62"/>
      <c r="I912" s="22"/>
    </row>
    <row r="913" spans="1:9" ht="30" customHeight="1">
      <c r="A913" s="22">
        <v>854</v>
      </c>
      <c r="B913" s="26" t="s">
        <v>1412</v>
      </c>
      <c r="C913" s="26" t="s">
        <v>815</v>
      </c>
      <c r="D913" s="130">
        <v>0</v>
      </c>
      <c r="E913" s="51">
        <v>-49.666666666666799</v>
      </c>
      <c r="F913" s="27">
        <v>0</v>
      </c>
      <c r="G913" s="41">
        <f>InventoryList[[#This Row],[NLC (NET LANDING COST]]*InventoryList[[#This Row],[Quantity in stock]]</f>
        <v>0</v>
      </c>
      <c r="H913" s="62"/>
      <c r="I913" s="22"/>
    </row>
    <row r="914" spans="1:9" ht="30" customHeight="1">
      <c r="A914" s="22">
        <v>855</v>
      </c>
      <c r="B914" s="26" t="s">
        <v>1413</v>
      </c>
      <c r="C914" s="26" t="s">
        <v>815</v>
      </c>
      <c r="D914" s="130">
        <v>0</v>
      </c>
      <c r="E914" s="51">
        <v>-50.000000000000099</v>
      </c>
      <c r="F914" s="27">
        <v>0</v>
      </c>
      <c r="G914" s="41">
        <f>InventoryList[[#This Row],[NLC (NET LANDING COST]]*InventoryList[[#This Row],[Quantity in stock]]</f>
        <v>0</v>
      </c>
      <c r="H914" s="62"/>
      <c r="I914" s="22"/>
    </row>
    <row r="915" spans="1:9" ht="30" customHeight="1">
      <c r="A915" s="22">
        <v>856</v>
      </c>
      <c r="B915" s="26" t="s">
        <v>1414</v>
      </c>
      <c r="C915" s="26" t="s">
        <v>815</v>
      </c>
      <c r="D915" s="130">
        <v>0</v>
      </c>
      <c r="E915" s="51">
        <v>-50.333333333333499</v>
      </c>
      <c r="F915" s="27">
        <v>0</v>
      </c>
      <c r="G915" s="41">
        <f>InventoryList[[#This Row],[NLC (NET LANDING COST]]*InventoryList[[#This Row],[Quantity in stock]]</f>
        <v>0</v>
      </c>
      <c r="H915" s="62"/>
      <c r="I915" s="22"/>
    </row>
    <row r="916" spans="1:9" ht="30" customHeight="1">
      <c r="A916" s="22">
        <v>857</v>
      </c>
      <c r="B916" s="26" t="s">
        <v>1415</v>
      </c>
      <c r="C916" s="26" t="s">
        <v>815</v>
      </c>
      <c r="D916" s="130">
        <v>0</v>
      </c>
      <c r="E916" s="51">
        <v>-50.666666666666799</v>
      </c>
      <c r="F916" s="27">
        <v>0</v>
      </c>
      <c r="G916" s="41">
        <f>InventoryList[[#This Row],[NLC (NET LANDING COST]]*InventoryList[[#This Row],[Quantity in stock]]</f>
        <v>0</v>
      </c>
      <c r="H916" s="62"/>
      <c r="I916" s="22"/>
    </row>
    <row r="917" spans="1:9" ht="30" customHeight="1">
      <c r="A917" s="22">
        <v>858</v>
      </c>
      <c r="B917" s="26" t="s">
        <v>1416</v>
      </c>
      <c r="C917" s="26" t="s">
        <v>815</v>
      </c>
      <c r="D917" s="130">
        <v>0</v>
      </c>
      <c r="E917" s="51">
        <v>-51.000000000000099</v>
      </c>
      <c r="F917" s="27">
        <v>0</v>
      </c>
      <c r="G917" s="41">
        <f>InventoryList[[#This Row],[NLC (NET LANDING COST]]*InventoryList[[#This Row],[Quantity in stock]]</f>
        <v>0</v>
      </c>
      <c r="H917" s="62"/>
      <c r="I917" s="22"/>
    </row>
    <row r="918" spans="1:9" ht="30" customHeight="1">
      <c r="A918" s="22">
        <v>859</v>
      </c>
      <c r="B918" s="26" t="s">
        <v>1417</v>
      </c>
      <c r="C918" s="26" t="s">
        <v>815</v>
      </c>
      <c r="D918" s="130">
        <v>0</v>
      </c>
      <c r="E918" s="51">
        <v>-51.333333333333499</v>
      </c>
      <c r="F918" s="27">
        <v>0</v>
      </c>
      <c r="G918" s="41">
        <f>InventoryList[[#This Row],[NLC (NET LANDING COST]]*InventoryList[[#This Row],[Quantity in stock]]</f>
        <v>0</v>
      </c>
      <c r="H918" s="62"/>
      <c r="I918" s="22"/>
    </row>
    <row r="919" spans="1:9" ht="30" customHeight="1">
      <c r="A919" s="22">
        <v>860</v>
      </c>
      <c r="B919" s="26" t="s">
        <v>1418</v>
      </c>
      <c r="C919" s="26" t="s">
        <v>815</v>
      </c>
      <c r="D919" s="130">
        <v>0</v>
      </c>
      <c r="E919" s="51">
        <v>-51.666666666666799</v>
      </c>
      <c r="F919" s="27">
        <v>0</v>
      </c>
      <c r="G919" s="41">
        <f>InventoryList[[#This Row],[NLC (NET LANDING COST]]*InventoryList[[#This Row],[Quantity in stock]]</f>
        <v>0</v>
      </c>
      <c r="H919" s="62"/>
      <c r="I919" s="22"/>
    </row>
    <row r="920" spans="1:9" ht="30" customHeight="1">
      <c r="A920" s="22">
        <v>861</v>
      </c>
      <c r="B920" s="26" t="s">
        <v>1419</v>
      </c>
      <c r="C920" s="26" t="s">
        <v>815</v>
      </c>
      <c r="D920" s="130">
        <v>0</v>
      </c>
      <c r="E920" s="51">
        <v>-52.000000000000099</v>
      </c>
      <c r="F920" s="27">
        <v>0</v>
      </c>
      <c r="G920" s="41">
        <f>InventoryList[[#This Row],[NLC (NET LANDING COST]]*InventoryList[[#This Row],[Quantity in stock]]</f>
        <v>0</v>
      </c>
      <c r="H920" s="62"/>
      <c r="I920" s="22"/>
    </row>
    <row r="921" spans="1:9" ht="30" customHeight="1">
      <c r="A921" s="22">
        <v>862</v>
      </c>
      <c r="B921" s="26" t="s">
        <v>1420</v>
      </c>
      <c r="C921" s="26" t="s">
        <v>815</v>
      </c>
      <c r="D921" s="130">
        <v>0</v>
      </c>
      <c r="E921" s="51">
        <v>-52.333333333333499</v>
      </c>
      <c r="F921" s="27">
        <v>0</v>
      </c>
      <c r="G921" s="41">
        <f>InventoryList[[#This Row],[NLC (NET LANDING COST]]*InventoryList[[#This Row],[Quantity in stock]]</f>
        <v>0</v>
      </c>
      <c r="H921" s="62"/>
      <c r="I921" s="22"/>
    </row>
    <row r="922" spans="1:9" ht="30" customHeight="1">
      <c r="A922" s="22">
        <v>863</v>
      </c>
      <c r="B922" s="26" t="s">
        <v>1421</v>
      </c>
      <c r="C922" s="26" t="s">
        <v>815</v>
      </c>
      <c r="D922" s="130">
        <v>0</v>
      </c>
      <c r="E922" s="51">
        <v>-52.666666666666799</v>
      </c>
      <c r="F922" s="27">
        <v>0</v>
      </c>
      <c r="G922" s="41">
        <f>InventoryList[[#This Row],[NLC (NET LANDING COST]]*InventoryList[[#This Row],[Quantity in stock]]</f>
        <v>0</v>
      </c>
      <c r="H922" s="62"/>
      <c r="I922" s="22"/>
    </row>
    <row r="923" spans="1:9" ht="30" customHeight="1">
      <c r="A923" s="22">
        <v>864</v>
      </c>
      <c r="B923" s="26" t="s">
        <v>1422</v>
      </c>
      <c r="C923" s="26" t="s">
        <v>815</v>
      </c>
      <c r="D923" s="130">
        <v>0</v>
      </c>
      <c r="E923" s="51">
        <v>-53.000000000000099</v>
      </c>
      <c r="F923" s="27">
        <v>0</v>
      </c>
      <c r="G923" s="41">
        <f>InventoryList[[#This Row],[NLC (NET LANDING COST]]*InventoryList[[#This Row],[Quantity in stock]]</f>
        <v>0</v>
      </c>
      <c r="H923" s="62"/>
      <c r="I923" s="22"/>
    </row>
    <row r="924" spans="1:9" ht="30" customHeight="1">
      <c r="A924" s="22">
        <v>865</v>
      </c>
      <c r="B924" s="26" t="s">
        <v>1423</v>
      </c>
      <c r="C924" s="26" t="s">
        <v>815</v>
      </c>
      <c r="D924" s="130">
        <v>0</v>
      </c>
      <c r="E924" s="51">
        <v>-53.333333333333499</v>
      </c>
      <c r="F924" s="27">
        <v>0</v>
      </c>
      <c r="G924" s="41">
        <f>InventoryList[[#This Row],[NLC (NET LANDING COST]]*InventoryList[[#This Row],[Quantity in stock]]</f>
        <v>0</v>
      </c>
      <c r="H924" s="62"/>
      <c r="I924" s="22"/>
    </row>
    <row r="925" spans="1:9" ht="30" customHeight="1">
      <c r="A925" s="22">
        <v>866</v>
      </c>
      <c r="B925" s="26" t="s">
        <v>1424</v>
      </c>
      <c r="C925" s="26" t="s">
        <v>815</v>
      </c>
      <c r="D925" s="130">
        <v>0</v>
      </c>
      <c r="E925" s="51">
        <v>-53.666666666666799</v>
      </c>
      <c r="F925" s="27">
        <v>0</v>
      </c>
      <c r="G925" s="41">
        <f>InventoryList[[#This Row],[NLC (NET LANDING COST]]*InventoryList[[#This Row],[Quantity in stock]]</f>
        <v>0</v>
      </c>
      <c r="H925" s="62"/>
      <c r="I925" s="22"/>
    </row>
    <row r="926" spans="1:9" ht="30" customHeight="1">
      <c r="A926" s="22">
        <v>867</v>
      </c>
      <c r="B926" s="26" t="s">
        <v>1425</v>
      </c>
      <c r="C926" s="26" t="s">
        <v>815</v>
      </c>
      <c r="D926" s="130">
        <v>0</v>
      </c>
      <c r="E926" s="51">
        <v>-54.000000000000099</v>
      </c>
      <c r="F926" s="27">
        <v>0</v>
      </c>
      <c r="G926" s="41">
        <f>InventoryList[[#This Row],[NLC (NET LANDING COST]]*InventoryList[[#This Row],[Quantity in stock]]</f>
        <v>0</v>
      </c>
      <c r="H926" s="62"/>
      <c r="I926" s="22"/>
    </row>
    <row r="927" spans="1:9" ht="30" customHeight="1">
      <c r="A927" s="22">
        <v>868</v>
      </c>
      <c r="B927" s="26" t="s">
        <v>1426</v>
      </c>
      <c r="C927" s="26" t="s">
        <v>815</v>
      </c>
      <c r="D927" s="130">
        <v>0</v>
      </c>
      <c r="E927" s="51">
        <v>-54.333333333333499</v>
      </c>
      <c r="F927" s="27">
        <v>0</v>
      </c>
      <c r="G927" s="41">
        <f>InventoryList[[#This Row],[NLC (NET LANDING COST]]*InventoryList[[#This Row],[Quantity in stock]]</f>
        <v>0</v>
      </c>
      <c r="H927" s="62"/>
      <c r="I927" s="22"/>
    </row>
    <row r="928" spans="1:9" ht="30" customHeight="1">
      <c r="A928" s="22">
        <v>869</v>
      </c>
      <c r="B928" s="26" t="s">
        <v>1427</v>
      </c>
      <c r="C928" s="26" t="s">
        <v>815</v>
      </c>
      <c r="D928" s="130">
        <v>0</v>
      </c>
      <c r="E928" s="51">
        <v>-54.666666666666799</v>
      </c>
      <c r="F928" s="27">
        <v>0</v>
      </c>
      <c r="G928" s="41">
        <f>InventoryList[[#This Row],[NLC (NET LANDING COST]]*InventoryList[[#This Row],[Quantity in stock]]</f>
        <v>0</v>
      </c>
      <c r="H928" s="62"/>
      <c r="I928" s="22"/>
    </row>
    <row r="929" spans="1:9" ht="30" customHeight="1">
      <c r="A929" s="22">
        <v>870</v>
      </c>
      <c r="B929" s="26" t="s">
        <v>1428</v>
      </c>
      <c r="C929" s="26" t="s">
        <v>815</v>
      </c>
      <c r="D929" s="130">
        <v>0</v>
      </c>
      <c r="E929" s="51">
        <v>-55.000000000000099</v>
      </c>
      <c r="F929" s="27">
        <v>0</v>
      </c>
      <c r="G929" s="41">
        <f>InventoryList[[#This Row],[NLC (NET LANDING COST]]*InventoryList[[#This Row],[Quantity in stock]]</f>
        <v>0</v>
      </c>
      <c r="H929" s="62"/>
      <c r="I929" s="22"/>
    </row>
    <row r="930" spans="1:9" ht="30" customHeight="1">
      <c r="A930" s="22">
        <v>871</v>
      </c>
      <c r="B930" s="26" t="s">
        <v>1429</v>
      </c>
      <c r="C930" s="26" t="s">
        <v>815</v>
      </c>
      <c r="D930" s="130">
        <v>0</v>
      </c>
      <c r="E930" s="51">
        <v>-55.333333333333499</v>
      </c>
      <c r="F930" s="27">
        <v>0</v>
      </c>
      <c r="G930" s="41">
        <f>InventoryList[[#This Row],[NLC (NET LANDING COST]]*InventoryList[[#This Row],[Quantity in stock]]</f>
        <v>0</v>
      </c>
      <c r="H930" s="62"/>
      <c r="I930" s="22"/>
    </row>
    <row r="931" spans="1:9" ht="30" customHeight="1">
      <c r="A931" s="22">
        <v>872</v>
      </c>
      <c r="B931" s="26" t="s">
        <v>1430</v>
      </c>
      <c r="C931" s="26" t="s">
        <v>815</v>
      </c>
      <c r="D931" s="130">
        <v>0</v>
      </c>
      <c r="E931" s="51">
        <v>-55.666666666666799</v>
      </c>
      <c r="F931" s="27">
        <v>0</v>
      </c>
      <c r="G931" s="41">
        <f>InventoryList[[#This Row],[NLC (NET LANDING COST]]*InventoryList[[#This Row],[Quantity in stock]]</f>
        <v>0</v>
      </c>
      <c r="H931" s="62"/>
      <c r="I931" s="22"/>
    </row>
    <row r="932" spans="1:9" ht="30" customHeight="1">
      <c r="A932" s="22">
        <v>873</v>
      </c>
      <c r="B932" s="26" t="s">
        <v>1431</v>
      </c>
      <c r="C932" s="26" t="s">
        <v>815</v>
      </c>
      <c r="D932" s="130">
        <v>0</v>
      </c>
      <c r="E932" s="51">
        <v>-56.000000000000099</v>
      </c>
      <c r="F932" s="27">
        <v>0</v>
      </c>
      <c r="G932" s="41">
        <f>InventoryList[[#This Row],[NLC (NET LANDING COST]]*InventoryList[[#This Row],[Quantity in stock]]</f>
        <v>0</v>
      </c>
      <c r="H932" s="62"/>
      <c r="I932" s="22"/>
    </row>
    <row r="933" spans="1:9" ht="30" customHeight="1">
      <c r="A933" s="22">
        <v>874</v>
      </c>
      <c r="B933" s="26" t="s">
        <v>1432</v>
      </c>
      <c r="C933" s="26" t="s">
        <v>815</v>
      </c>
      <c r="D933" s="130">
        <v>0</v>
      </c>
      <c r="E933" s="51">
        <v>-56.333333333333499</v>
      </c>
      <c r="F933" s="27">
        <v>0</v>
      </c>
      <c r="G933" s="41">
        <f>InventoryList[[#This Row],[NLC (NET LANDING COST]]*InventoryList[[#This Row],[Quantity in stock]]</f>
        <v>0</v>
      </c>
      <c r="H933" s="62"/>
      <c r="I933" s="22"/>
    </row>
    <row r="934" spans="1:9" ht="30" customHeight="1">
      <c r="A934" s="22">
        <v>875</v>
      </c>
      <c r="B934" s="26" t="s">
        <v>1433</v>
      </c>
      <c r="C934" s="26" t="s">
        <v>815</v>
      </c>
      <c r="D934" s="130">
        <v>0</v>
      </c>
      <c r="E934" s="51">
        <v>-56.666666666666799</v>
      </c>
      <c r="F934" s="27">
        <v>0</v>
      </c>
      <c r="G934" s="41">
        <f>InventoryList[[#This Row],[NLC (NET LANDING COST]]*InventoryList[[#This Row],[Quantity in stock]]</f>
        <v>0</v>
      </c>
      <c r="H934" s="62"/>
      <c r="I934" s="22"/>
    </row>
    <row r="935" spans="1:9" ht="30" customHeight="1">
      <c r="A935" s="22">
        <v>876</v>
      </c>
      <c r="B935" s="26" t="s">
        <v>1434</v>
      </c>
      <c r="C935" s="26" t="s">
        <v>815</v>
      </c>
      <c r="D935" s="130">
        <v>0</v>
      </c>
      <c r="E935" s="51">
        <v>-57.000000000000099</v>
      </c>
      <c r="F935" s="27">
        <v>0</v>
      </c>
      <c r="G935" s="41">
        <f>InventoryList[[#This Row],[NLC (NET LANDING COST]]*InventoryList[[#This Row],[Quantity in stock]]</f>
        <v>0</v>
      </c>
      <c r="H935" s="62"/>
      <c r="I935" s="22"/>
    </row>
    <row r="936" spans="1:9" ht="30" customHeight="1">
      <c r="A936" s="22">
        <v>877</v>
      </c>
      <c r="B936" s="26" t="s">
        <v>1435</v>
      </c>
      <c r="C936" s="26" t="s">
        <v>815</v>
      </c>
      <c r="D936" s="130">
        <v>0</v>
      </c>
      <c r="E936" s="51">
        <v>-57.333333333333499</v>
      </c>
      <c r="F936" s="27">
        <v>0</v>
      </c>
      <c r="G936" s="41">
        <f>InventoryList[[#This Row],[NLC (NET LANDING COST]]*InventoryList[[#This Row],[Quantity in stock]]</f>
        <v>0</v>
      </c>
      <c r="H936" s="62"/>
      <c r="I936" s="22"/>
    </row>
    <row r="937" spans="1:9" ht="30" customHeight="1">
      <c r="A937" s="22">
        <v>878</v>
      </c>
      <c r="B937" s="26" t="s">
        <v>1436</v>
      </c>
      <c r="C937" s="26" t="s">
        <v>815</v>
      </c>
      <c r="D937" s="130">
        <v>0</v>
      </c>
      <c r="E937" s="51">
        <v>-57.666666666666799</v>
      </c>
      <c r="F937" s="27">
        <v>0</v>
      </c>
      <c r="G937" s="41">
        <f>InventoryList[[#This Row],[NLC (NET LANDING COST]]*InventoryList[[#This Row],[Quantity in stock]]</f>
        <v>0</v>
      </c>
      <c r="H937" s="62"/>
      <c r="I937" s="22"/>
    </row>
    <row r="938" spans="1:9" ht="30" customHeight="1">
      <c r="A938" s="22">
        <v>879</v>
      </c>
      <c r="B938" s="26" t="s">
        <v>1437</v>
      </c>
      <c r="C938" s="26" t="s">
        <v>815</v>
      </c>
      <c r="D938" s="130">
        <v>0</v>
      </c>
      <c r="E938" s="51">
        <v>-58.000000000000099</v>
      </c>
      <c r="F938" s="27">
        <v>0</v>
      </c>
      <c r="G938" s="41">
        <f>InventoryList[[#This Row],[NLC (NET LANDING COST]]*InventoryList[[#This Row],[Quantity in stock]]</f>
        <v>0</v>
      </c>
      <c r="H938" s="62"/>
      <c r="I938" s="22"/>
    </row>
    <row r="939" spans="1:9" ht="30" customHeight="1">
      <c r="A939" s="22">
        <v>880</v>
      </c>
      <c r="B939" s="26" t="s">
        <v>1438</v>
      </c>
      <c r="C939" s="26" t="s">
        <v>815</v>
      </c>
      <c r="D939" s="130">
        <v>0</v>
      </c>
      <c r="E939" s="51">
        <v>-58.333333333333499</v>
      </c>
      <c r="F939" s="27">
        <v>0</v>
      </c>
      <c r="G939" s="41">
        <f>InventoryList[[#This Row],[NLC (NET LANDING COST]]*InventoryList[[#This Row],[Quantity in stock]]</f>
        <v>0</v>
      </c>
      <c r="H939" s="62"/>
      <c r="I939" s="22"/>
    </row>
    <row r="940" spans="1:9" ht="30" customHeight="1">
      <c r="A940" s="22">
        <v>881</v>
      </c>
      <c r="B940" s="26" t="s">
        <v>1439</v>
      </c>
      <c r="C940" s="26" t="s">
        <v>815</v>
      </c>
      <c r="D940" s="130">
        <v>0</v>
      </c>
      <c r="E940" s="51">
        <v>-58.666666666666799</v>
      </c>
      <c r="F940" s="27">
        <v>0</v>
      </c>
      <c r="G940" s="41">
        <f>InventoryList[[#This Row],[NLC (NET LANDING COST]]*InventoryList[[#This Row],[Quantity in stock]]</f>
        <v>0</v>
      </c>
      <c r="H940" s="62"/>
      <c r="I940" s="22"/>
    </row>
    <row r="941" spans="1:9" ht="30" customHeight="1">
      <c r="A941" s="22">
        <v>882</v>
      </c>
      <c r="B941" s="26" t="s">
        <v>1440</v>
      </c>
      <c r="C941" s="26" t="s">
        <v>815</v>
      </c>
      <c r="D941" s="130">
        <v>0</v>
      </c>
      <c r="E941" s="51">
        <v>-59.000000000000099</v>
      </c>
      <c r="F941" s="27">
        <v>0</v>
      </c>
      <c r="G941" s="41">
        <f>InventoryList[[#This Row],[NLC (NET LANDING COST]]*InventoryList[[#This Row],[Quantity in stock]]</f>
        <v>0</v>
      </c>
      <c r="H941" s="62"/>
      <c r="I941" s="22"/>
    </row>
    <row r="942" spans="1:9" ht="30" customHeight="1">
      <c r="A942" s="22">
        <v>883</v>
      </c>
      <c r="B942" s="26" t="s">
        <v>1441</v>
      </c>
      <c r="C942" s="26" t="s">
        <v>815</v>
      </c>
      <c r="D942" s="130">
        <v>0</v>
      </c>
      <c r="E942" s="51">
        <v>-59.333333333333499</v>
      </c>
      <c r="F942" s="27">
        <v>0</v>
      </c>
      <c r="G942" s="41">
        <f>InventoryList[[#This Row],[NLC (NET LANDING COST]]*InventoryList[[#This Row],[Quantity in stock]]</f>
        <v>0</v>
      </c>
      <c r="H942" s="62"/>
      <c r="I942" s="22"/>
    </row>
    <row r="943" spans="1:9" ht="30" customHeight="1">
      <c r="A943" s="22">
        <v>884</v>
      </c>
      <c r="B943" s="26" t="s">
        <v>1442</v>
      </c>
      <c r="C943" s="26" t="s">
        <v>815</v>
      </c>
      <c r="D943" s="130">
        <v>0</v>
      </c>
      <c r="E943" s="51">
        <v>-59.666666666666799</v>
      </c>
      <c r="F943" s="27">
        <v>0</v>
      </c>
      <c r="G943" s="41">
        <f>InventoryList[[#This Row],[NLC (NET LANDING COST]]*InventoryList[[#This Row],[Quantity in stock]]</f>
        <v>0</v>
      </c>
      <c r="H943" s="62"/>
      <c r="I943" s="22"/>
    </row>
    <row r="944" spans="1:9" ht="30" customHeight="1">
      <c r="A944" s="22">
        <v>885</v>
      </c>
      <c r="B944" s="26" t="s">
        <v>1443</v>
      </c>
      <c r="C944" s="26" t="s">
        <v>815</v>
      </c>
      <c r="D944" s="130">
        <v>0</v>
      </c>
      <c r="E944" s="51">
        <v>-60.000000000000099</v>
      </c>
      <c r="F944" s="27">
        <v>0</v>
      </c>
      <c r="G944" s="41">
        <f>InventoryList[[#This Row],[NLC (NET LANDING COST]]*InventoryList[[#This Row],[Quantity in stock]]</f>
        <v>0</v>
      </c>
      <c r="H944" s="62"/>
      <c r="I944" s="22"/>
    </row>
    <row r="945" spans="1:9" ht="30" customHeight="1">
      <c r="A945" s="22">
        <v>886</v>
      </c>
      <c r="B945" s="26" t="s">
        <v>1444</v>
      </c>
      <c r="C945" s="26" t="s">
        <v>815</v>
      </c>
      <c r="D945" s="130">
        <v>0</v>
      </c>
      <c r="E945" s="51">
        <v>-60.333333333333499</v>
      </c>
      <c r="F945" s="27">
        <v>0</v>
      </c>
      <c r="G945" s="41">
        <f>InventoryList[[#This Row],[NLC (NET LANDING COST]]*InventoryList[[#This Row],[Quantity in stock]]</f>
        <v>0</v>
      </c>
      <c r="H945" s="62"/>
      <c r="I945" s="22"/>
    </row>
    <row r="946" spans="1:9" ht="30" customHeight="1">
      <c r="A946" s="22">
        <v>887</v>
      </c>
      <c r="B946" s="26" t="s">
        <v>1445</v>
      </c>
      <c r="C946" s="26" t="s">
        <v>815</v>
      </c>
      <c r="D946" s="130">
        <v>0</v>
      </c>
      <c r="E946" s="51">
        <v>-60.666666666666799</v>
      </c>
      <c r="F946" s="27">
        <v>0</v>
      </c>
      <c r="G946" s="41">
        <f>InventoryList[[#This Row],[NLC (NET LANDING COST]]*InventoryList[[#This Row],[Quantity in stock]]</f>
        <v>0</v>
      </c>
      <c r="H946" s="62"/>
      <c r="I946" s="22"/>
    </row>
    <row r="947" spans="1:9" ht="30" customHeight="1">
      <c r="A947" s="22">
        <v>888</v>
      </c>
      <c r="B947" s="26" t="s">
        <v>1446</v>
      </c>
      <c r="C947" s="26" t="s">
        <v>815</v>
      </c>
      <c r="D947" s="130">
        <v>0</v>
      </c>
      <c r="E947" s="51">
        <v>-61.000000000000099</v>
      </c>
      <c r="F947" s="27">
        <v>0</v>
      </c>
      <c r="G947" s="41">
        <f>InventoryList[[#This Row],[NLC (NET LANDING COST]]*InventoryList[[#This Row],[Quantity in stock]]</f>
        <v>0</v>
      </c>
      <c r="H947" s="62"/>
      <c r="I947" s="22"/>
    </row>
    <row r="948" spans="1:9" ht="30" customHeight="1">
      <c r="A948" s="22">
        <v>889</v>
      </c>
      <c r="B948" s="26" t="s">
        <v>1447</v>
      </c>
      <c r="C948" s="26" t="s">
        <v>815</v>
      </c>
      <c r="D948" s="130">
        <v>0</v>
      </c>
      <c r="E948" s="51">
        <v>-61.333333333333499</v>
      </c>
      <c r="F948" s="27">
        <v>0</v>
      </c>
      <c r="G948" s="41">
        <f>InventoryList[[#This Row],[NLC (NET LANDING COST]]*InventoryList[[#This Row],[Quantity in stock]]</f>
        <v>0</v>
      </c>
      <c r="H948" s="62"/>
      <c r="I948" s="22"/>
    </row>
    <row r="949" spans="1:9" ht="30" customHeight="1">
      <c r="A949" s="22">
        <v>890</v>
      </c>
      <c r="B949" s="26" t="s">
        <v>1448</v>
      </c>
      <c r="C949" s="26" t="s">
        <v>815</v>
      </c>
      <c r="D949" s="130">
        <v>0</v>
      </c>
      <c r="E949" s="51">
        <v>-61.666666666666799</v>
      </c>
      <c r="F949" s="27">
        <v>0</v>
      </c>
      <c r="G949" s="41">
        <f>InventoryList[[#This Row],[NLC (NET LANDING COST]]*InventoryList[[#This Row],[Quantity in stock]]</f>
        <v>0</v>
      </c>
      <c r="H949" s="62"/>
      <c r="I949" s="22"/>
    </row>
    <row r="950" spans="1:9" ht="30" customHeight="1">
      <c r="A950" s="22">
        <v>891</v>
      </c>
      <c r="B950" s="26" t="s">
        <v>1449</v>
      </c>
      <c r="C950" s="26" t="s">
        <v>815</v>
      </c>
      <c r="D950" s="130">
        <v>0</v>
      </c>
      <c r="E950" s="51">
        <v>-62.000000000000199</v>
      </c>
      <c r="F950" s="27">
        <v>0</v>
      </c>
      <c r="G950" s="41">
        <f>InventoryList[[#This Row],[NLC (NET LANDING COST]]*InventoryList[[#This Row],[Quantity in stock]]</f>
        <v>0</v>
      </c>
      <c r="H950" s="62"/>
      <c r="I950" s="22"/>
    </row>
    <row r="951" spans="1:9" ht="30" customHeight="1">
      <c r="A951" s="22">
        <v>892</v>
      </c>
      <c r="B951" s="26" t="s">
        <v>1450</v>
      </c>
      <c r="C951" s="26" t="s">
        <v>815</v>
      </c>
      <c r="D951" s="130">
        <v>0</v>
      </c>
      <c r="E951" s="51">
        <v>-62.333333333333499</v>
      </c>
      <c r="F951" s="27">
        <v>0</v>
      </c>
      <c r="G951" s="41">
        <f>InventoryList[[#This Row],[NLC (NET LANDING COST]]*InventoryList[[#This Row],[Quantity in stock]]</f>
        <v>0</v>
      </c>
      <c r="H951" s="62"/>
      <c r="I951" s="22"/>
    </row>
    <row r="952" spans="1:9" ht="30" customHeight="1">
      <c r="A952" s="22">
        <v>893</v>
      </c>
      <c r="B952" s="26" t="s">
        <v>1451</v>
      </c>
      <c r="C952" s="26" t="s">
        <v>815</v>
      </c>
      <c r="D952" s="130">
        <v>0</v>
      </c>
      <c r="E952" s="51">
        <v>-62.666666666666799</v>
      </c>
      <c r="F952" s="27">
        <v>0</v>
      </c>
      <c r="G952" s="41">
        <f>InventoryList[[#This Row],[NLC (NET LANDING COST]]*InventoryList[[#This Row],[Quantity in stock]]</f>
        <v>0</v>
      </c>
      <c r="H952" s="62"/>
      <c r="I952" s="22"/>
    </row>
    <row r="953" spans="1:9" ht="30" customHeight="1">
      <c r="A953" s="22">
        <v>894</v>
      </c>
      <c r="B953" s="26" t="s">
        <v>1452</v>
      </c>
      <c r="C953" s="26" t="s">
        <v>815</v>
      </c>
      <c r="D953" s="130">
        <v>0</v>
      </c>
      <c r="E953" s="51">
        <v>-63.000000000000199</v>
      </c>
      <c r="F953" s="27">
        <v>0</v>
      </c>
      <c r="G953" s="41">
        <f>InventoryList[[#This Row],[NLC (NET LANDING COST]]*InventoryList[[#This Row],[Quantity in stock]]</f>
        <v>0</v>
      </c>
      <c r="H953" s="62"/>
      <c r="I953" s="22"/>
    </row>
    <row r="954" spans="1:9" ht="30" customHeight="1">
      <c r="A954" s="22">
        <v>895</v>
      </c>
      <c r="B954" s="26" t="s">
        <v>1453</v>
      </c>
      <c r="C954" s="26" t="s">
        <v>815</v>
      </c>
      <c r="D954" s="130">
        <v>0</v>
      </c>
      <c r="E954" s="51">
        <v>-63.333333333333499</v>
      </c>
      <c r="F954" s="27">
        <v>0</v>
      </c>
      <c r="G954" s="41">
        <f>InventoryList[[#This Row],[NLC (NET LANDING COST]]*InventoryList[[#This Row],[Quantity in stock]]</f>
        <v>0</v>
      </c>
      <c r="H954" s="62"/>
      <c r="I954" s="22"/>
    </row>
    <row r="955" spans="1:9" ht="30" customHeight="1">
      <c r="A955" s="22">
        <v>896</v>
      </c>
      <c r="B955" s="26" t="s">
        <v>1454</v>
      </c>
      <c r="C955" s="26" t="s">
        <v>815</v>
      </c>
      <c r="D955" s="130">
        <v>0</v>
      </c>
      <c r="E955" s="51">
        <v>-63.666666666666799</v>
      </c>
      <c r="F955" s="27">
        <v>0</v>
      </c>
      <c r="G955" s="41">
        <f>InventoryList[[#This Row],[NLC (NET LANDING COST]]*InventoryList[[#This Row],[Quantity in stock]]</f>
        <v>0</v>
      </c>
      <c r="H955" s="62"/>
      <c r="I955" s="22"/>
    </row>
    <row r="956" spans="1:9" ht="30" customHeight="1">
      <c r="A956" s="22">
        <v>897</v>
      </c>
      <c r="B956" s="26" t="s">
        <v>1455</v>
      </c>
      <c r="C956" s="26" t="s">
        <v>815</v>
      </c>
      <c r="D956" s="130">
        <v>0</v>
      </c>
      <c r="E956" s="51">
        <v>-64.000000000000199</v>
      </c>
      <c r="F956" s="27">
        <v>0</v>
      </c>
      <c r="G956" s="41">
        <f>InventoryList[[#This Row],[NLC (NET LANDING COST]]*InventoryList[[#This Row],[Quantity in stock]]</f>
        <v>0</v>
      </c>
      <c r="H956" s="62"/>
      <c r="I956" s="22"/>
    </row>
    <row r="957" spans="1:9" ht="30" customHeight="1">
      <c r="A957" s="22">
        <v>898</v>
      </c>
      <c r="B957" s="26" t="s">
        <v>1456</v>
      </c>
      <c r="C957" s="26" t="s">
        <v>815</v>
      </c>
      <c r="D957" s="130">
        <v>0</v>
      </c>
      <c r="E957" s="51">
        <v>-64.333333333333499</v>
      </c>
      <c r="F957" s="27">
        <v>0</v>
      </c>
      <c r="G957" s="41">
        <f>InventoryList[[#This Row],[NLC (NET LANDING COST]]*InventoryList[[#This Row],[Quantity in stock]]</f>
        <v>0</v>
      </c>
      <c r="H957" s="62"/>
      <c r="I957" s="22"/>
    </row>
    <row r="958" spans="1:9" ht="30" customHeight="1">
      <c r="A958" s="22">
        <v>899</v>
      </c>
      <c r="B958" s="26" t="s">
        <v>1457</v>
      </c>
      <c r="C958" s="26" t="s">
        <v>815</v>
      </c>
      <c r="D958" s="130">
        <v>0</v>
      </c>
      <c r="E958" s="51">
        <v>-64.666666666666799</v>
      </c>
      <c r="F958" s="27">
        <v>0</v>
      </c>
      <c r="G958" s="41">
        <f>InventoryList[[#This Row],[NLC (NET LANDING COST]]*InventoryList[[#This Row],[Quantity in stock]]</f>
        <v>0</v>
      </c>
      <c r="H958" s="62"/>
      <c r="I958" s="22"/>
    </row>
    <row r="959" spans="1:9" ht="30" customHeight="1">
      <c r="A959" s="22">
        <v>900</v>
      </c>
      <c r="B959" s="26" t="s">
        <v>1458</v>
      </c>
      <c r="C959" s="26" t="s">
        <v>815</v>
      </c>
      <c r="D959" s="130">
        <v>0</v>
      </c>
      <c r="E959" s="51">
        <v>-65.000000000000199</v>
      </c>
      <c r="F959" s="27">
        <v>0</v>
      </c>
      <c r="G959" s="41">
        <f>InventoryList[[#This Row],[NLC (NET LANDING COST]]*InventoryList[[#This Row],[Quantity in stock]]</f>
        <v>0</v>
      </c>
      <c r="H959" s="62"/>
      <c r="I959" s="22"/>
    </row>
    <row r="960" spans="1:9" ht="30" customHeight="1">
      <c r="A960" s="22">
        <v>901</v>
      </c>
      <c r="B960" s="26" t="s">
        <v>1459</v>
      </c>
      <c r="C960" s="26" t="s">
        <v>815</v>
      </c>
      <c r="D960" s="130">
        <v>0</v>
      </c>
      <c r="E960" s="51">
        <v>-65.333333333333499</v>
      </c>
      <c r="F960" s="27">
        <v>0</v>
      </c>
      <c r="G960" s="41">
        <f>InventoryList[[#This Row],[NLC (NET LANDING COST]]*InventoryList[[#This Row],[Quantity in stock]]</f>
        <v>0</v>
      </c>
      <c r="H960" s="62"/>
      <c r="I960" s="22"/>
    </row>
    <row r="961" spans="1:9" ht="30" customHeight="1">
      <c r="A961" s="22">
        <v>902</v>
      </c>
      <c r="B961" s="26" t="s">
        <v>1460</v>
      </c>
      <c r="C961" s="26" t="s">
        <v>815</v>
      </c>
      <c r="D961" s="130">
        <v>0</v>
      </c>
      <c r="E961" s="51">
        <v>-65.666666666666799</v>
      </c>
      <c r="F961" s="27">
        <v>0</v>
      </c>
      <c r="G961" s="41">
        <f>InventoryList[[#This Row],[NLC (NET LANDING COST]]*InventoryList[[#This Row],[Quantity in stock]]</f>
        <v>0</v>
      </c>
      <c r="H961" s="62"/>
      <c r="I961" s="22"/>
    </row>
    <row r="962" spans="1:9" ht="30" customHeight="1">
      <c r="A962" s="22">
        <v>903</v>
      </c>
      <c r="B962" s="26" t="s">
        <v>1461</v>
      </c>
      <c r="C962" s="26" t="s">
        <v>815</v>
      </c>
      <c r="D962" s="130">
        <v>0</v>
      </c>
      <c r="E962" s="51">
        <v>-66.000000000000199</v>
      </c>
      <c r="F962" s="27">
        <v>0</v>
      </c>
      <c r="G962" s="41">
        <f>InventoryList[[#This Row],[NLC (NET LANDING COST]]*InventoryList[[#This Row],[Quantity in stock]]</f>
        <v>0</v>
      </c>
      <c r="H962" s="62"/>
      <c r="I962" s="22"/>
    </row>
    <row r="963" spans="1:9" ht="30" customHeight="1">
      <c r="A963" s="22">
        <v>904</v>
      </c>
      <c r="B963" s="26" t="s">
        <v>1462</v>
      </c>
      <c r="C963" s="26" t="s">
        <v>815</v>
      </c>
      <c r="D963" s="130">
        <v>0</v>
      </c>
      <c r="E963" s="51">
        <v>-66.333333333333499</v>
      </c>
      <c r="F963" s="27">
        <v>0</v>
      </c>
      <c r="G963" s="41">
        <f>InventoryList[[#This Row],[NLC (NET LANDING COST]]*InventoryList[[#This Row],[Quantity in stock]]</f>
        <v>0</v>
      </c>
      <c r="H963" s="62"/>
      <c r="I963" s="22"/>
    </row>
    <row r="964" spans="1:9" ht="30" customHeight="1">
      <c r="A964" s="22">
        <v>905</v>
      </c>
      <c r="B964" s="26" t="s">
        <v>1463</v>
      </c>
      <c r="C964" s="26" t="s">
        <v>815</v>
      </c>
      <c r="D964" s="130">
        <v>0</v>
      </c>
      <c r="E964" s="51">
        <v>-66.666666666666799</v>
      </c>
      <c r="F964" s="27">
        <v>0</v>
      </c>
      <c r="G964" s="41">
        <f>InventoryList[[#This Row],[NLC (NET LANDING COST]]*InventoryList[[#This Row],[Quantity in stock]]</f>
        <v>0</v>
      </c>
      <c r="H964" s="62"/>
      <c r="I964" s="22"/>
    </row>
    <row r="965" spans="1:9" ht="30" customHeight="1">
      <c r="A965" s="22">
        <v>906</v>
      </c>
      <c r="B965" s="26" t="s">
        <v>1464</v>
      </c>
      <c r="C965" s="26" t="s">
        <v>815</v>
      </c>
      <c r="D965" s="130">
        <v>0</v>
      </c>
      <c r="E965" s="51">
        <v>-67.000000000000199</v>
      </c>
      <c r="F965" s="27">
        <v>0</v>
      </c>
      <c r="G965" s="41">
        <f>InventoryList[[#This Row],[NLC (NET LANDING COST]]*InventoryList[[#This Row],[Quantity in stock]]</f>
        <v>0</v>
      </c>
      <c r="H965" s="62"/>
      <c r="I965" s="22"/>
    </row>
    <row r="966" spans="1:9" ht="30" customHeight="1">
      <c r="A966" s="22">
        <v>907</v>
      </c>
      <c r="B966" s="26" t="s">
        <v>1465</v>
      </c>
      <c r="C966" s="26" t="s">
        <v>815</v>
      </c>
      <c r="D966" s="130">
        <v>0</v>
      </c>
      <c r="E966" s="51">
        <v>-67.333333333333499</v>
      </c>
      <c r="F966" s="27">
        <v>0</v>
      </c>
      <c r="G966" s="41">
        <f>InventoryList[[#This Row],[NLC (NET LANDING COST]]*InventoryList[[#This Row],[Quantity in stock]]</f>
        <v>0</v>
      </c>
      <c r="H966" s="62"/>
      <c r="I966" s="22"/>
    </row>
    <row r="967" spans="1:9" ht="30" customHeight="1">
      <c r="A967" s="22">
        <v>908</v>
      </c>
      <c r="B967" s="26" t="s">
        <v>1466</v>
      </c>
      <c r="C967" s="26" t="s">
        <v>815</v>
      </c>
      <c r="D967" s="130">
        <v>0</v>
      </c>
      <c r="E967" s="51">
        <v>-67.666666666666799</v>
      </c>
      <c r="F967" s="27">
        <v>0</v>
      </c>
      <c r="G967" s="41">
        <f>InventoryList[[#This Row],[NLC (NET LANDING COST]]*InventoryList[[#This Row],[Quantity in stock]]</f>
        <v>0</v>
      </c>
      <c r="H967" s="62"/>
      <c r="I967" s="22"/>
    </row>
    <row r="968" spans="1:9" ht="30" customHeight="1">
      <c r="A968" s="22">
        <v>909</v>
      </c>
      <c r="B968" s="26" t="s">
        <v>1467</v>
      </c>
      <c r="C968" s="26" t="s">
        <v>815</v>
      </c>
      <c r="D968" s="130">
        <v>0</v>
      </c>
      <c r="E968" s="51">
        <v>-68.000000000000199</v>
      </c>
      <c r="F968" s="27">
        <v>0</v>
      </c>
      <c r="G968" s="41">
        <f>InventoryList[[#This Row],[NLC (NET LANDING COST]]*InventoryList[[#This Row],[Quantity in stock]]</f>
        <v>0</v>
      </c>
      <c r="H968" s="62"/>
      <c r="I968" s="22"/>
    </row>
    <row r="969" spans="1:9" ht="30" customHeight="1">
      <c r="A969" s="22">
        <v>910</v>
      </c>
      <c r="B969" s="26" t="s">
        <v>1468</v>
      </c>
      <c r="C969" s="26" t="s">
        <v>815</v>
      </c>
      <c r="D969" s="130">
        <v>0</v>
      </c>
      <c r="E969" s="51">
        <v>-68.333333333333499</v>
      </c>
      <c r="F969" s="27">
        <v>0</v>
      </c>
      <c r="G969" s="41">
        <f>InventoryList[[#This Row],[NLC (NET LANDING COST]]*InventoryList[[#This Row],[Quantity in stock]]</f>
        <v>0</v>
      </c>
      <c r="H969" s="62"/>
      <c r="I969" s="22"/>
    </row>
    <row r="970" spans="1:9" ht="30" customHeight="1">
      <c r="A970" s="22">
        <v>911</v>
      </c>
      <c r="B970" s="26" t="s">
        <v>1469</v>
      </c>
      <c r="C970" s="26" t="s">
        <v>815</v>
      </c>
      <c r="D970" s="130">
        <v>0</v>
      </c>
      <c r="E970" s="51">
        <v>-68.666666666666799</v>
      </c>
      <c r="F970" s="27">
        <v>0</v>
      </c>
      <c r="G970" s="41">
        <f>InventoryList[[#This Row],[NLC (NET LANDING COST]]*InventoryList[[#This Row],[Quantity in stock]]</f>
        <v>0</v>
      </c>
      <c r="H970" s="62"/>
      <c r="I970" s="22"/>
    </row>
    <row r="971" spans="1:9" ht="30" customHeight="1">
      <c r="A971" s="22">
        <v>912</v>
      </c>
      <c r="B971" s="26" t="s">
        <v>1470</v>
      </c>
      <c r="C971" s="26" t="s">
        <v>815</v>
      </c>
      <c r="D971" s="130">
        <v>0</v>
      </c>
      <c r="E971" s="51">
        <v>-69.000000000000199</v>
      </c>
      <c r="F971" s="27">
        <v>0</v>
      </c>
      <c r="G971" s="41">
        <f>InventoryList[[#This Row],[NLC (NET LANDING COST]]*InventoryList[[#This Row],[Quantity in stock]]</f>
        <v>0</v>
      </c>
      <c r="H971" s="62"/>
      <c r="I971" s="22"/>
    </row>
    <row r="972" spans="1:9" ht="30" customHeight="1">
      <c r="A972" s="22">
        <v>913</v>
      </c>
      <c r="B972" s="26" t="s">
        <v>1471</v>
      </c>
      <c r="C972" s="26" t="s">
        <v>815</v>
      </c>
      <c r="D972" s="130">
        <v>0</v>
      </c>
      <c r="E972" s="51">
        <v>-69.333333333333499</v>
      </c>
      <c r="F972" s="27">
        <v>0</v>
      </c>
      <c r="G972" s="41">
        <f>InventoryList[[#This Row],[NLC (NET LANDING COST]]*InventoryList[[#This Row],[Quantity in stock]]</f>
        <v>0</v>
      </c>
      <c r="H972" s="62"/>
      <c r="I972" s="22"/>
    </row>
    <row r="973" spans="1:9" ht="30" customHeight="1">
      <c r="A973" s="22">
        <v>914</v>
      </c>
      <c r="B973" s="26" t="s">
        <v>1472</v>
      </c>
      <c r="C973" s="26" t="s">
        <v>815</v>
      </c>
      <c r="D973" s="130">
        <v>0</v>
      </c>
      <c r="E973" s="51">
        <v>-69.666666666666799</v>
      </c>
      <c r="F973" s="27">
        <v>0</v>
      </c>
      <c r="G973" s="41">
        <f>InventoryList[[#This Row],[NLC (NET LANDING COST]]*InventoryList[[#This Row],[Quantity in stock]]</f>
        <v>0</v>
      </c>
      <c r="H973" s="62"/>
      <c r="I973" s="22"/>
    </row>
    <row r="974" spans="1:9" ht="30" customHeight="1">
      <c r="B974" s="22"/>
      <c r="C974" s="22"/>
      <c r="D974" s="130">
        <v>0</v>
      </c>
      <c r="E974" s="51">
        <v>-70.000000000000199</v>
      </c>
      <c r="F974" s="27">
        <v>0</v>
      </c>
      <c r="G974" s="41">
        <f>InventoryList[[#This Row],[NLC (NET LANDING COST]]*InventoryList[[#This Row],[Quantity in stock]]</f>
        <v>0</v>
      </c>
      <c r="H974" s="62"/>
      <c r="I974" s="22"/>
    </row>
  </sheetData>
  <phoneticPr fontId="11" type="noConversion"/>
  <conditionalFormatting sqref="C32:H32 B6:H25 B27:H31 B32:B78 C33:G78 D221:G222 B221:B222 B223:G228 B229:C230 D229:G231 B231:B236 B238 B237:G237 C291:F291 C390:F390 B292:G311 B239:G290 B133:G220 B403:G414 B391:G401 B313:G374 B421:G427 B418:G419 B428:B437 E428:G437 B438:G440 B442:G442 F441:G441 B441:D441 B444:G445 B467:G484 B486:G503 B505:G510 B512:G523 B447:G465 D537:G538 B537:B538 B539:G548 B553:G557 B377:G388 B79:G130 B131:F131 B525:G536 B550:G551 G549 B559:G587 B589:G597 B599:G614 B616 D616:G616 B631:G636 B617:G629 B639:G640 B642:B651 D653:G653 B653:B659 D657:G659 D642:G651 B660:G681 B752:G753 D757:G770 B766:C770 C754:G756 B754:B770 B773:G779 B782:G791 B683:G728 C757:C765 B732:G749 B794:G812 B865:C973 D865:G974 B852:G863 B814:G850">
    <cfRule type="expression" dxfId="207" priority="276">
      <formula>#REF!=1</formula>
    </cfRule>
    <cfRule type="expression" dxfId="206" priority="277">
      <formula>$H6="yes"</formula>
    </cfRule>
  </conditionalFormatting>
  <conditionalFormatting sqref="C32:H32 D36:G36 D40:G40 D44:G44 D49:G49 D53:G53 D57:G57 D61:G61 D65:G65 D70:G70 D74:G74 C223:C230 C259:C278 C239:C257 C280:C311 C313:C374 C403:C414 C421:C427 C438:C442 C418:C419 C444:C445 C467:C484 C486:C503 C505:C510 C512:C523 C447:C465 C539:C548 C553:C557 C377:C388 C390:C401 C33:C131 C133:C220 C525:C536 C550:C551 C559:C587 C589:C597 C599:C614 C617:C629 C631:C636 C639:C640 C732:C749 C660:C681 C773:C779 C782:C791 C683:C728 C752:C770 C794:C812 C814:C850 C852:C863 C865:C973">
    <cfRule type="expression" dxfId="205" priority="280">
      <formula>#REF!=1</formula>
    </cfRule>
    <cfRule type="expression" dxfId="204" priority="281">
      <formula>$H32="yes"</formula>
    </cfRule>
  </conditionalFormatting>
  <conditionalFormatting sqref="H26 B26:F26 B729:E731">
    <cfRule type="expression" dxfId="203" priority="284">
      <formula>#REF!=1</formula>
    </cfRule>
    <cfRule type="expression" dxfId="202" priority="285">
      <formula>#REF!="yes"</formula>
    </cfRule>
  </conditionalFormatting>
  <conditionalFormatting sqref="C222">
    <cfRule type="expression" dxfId="201" priority="288">
      <formula>#REF!=1</formula>
    </cfRule>
    <cfRule type="expression" dxfId="200" priority="289">
      <formula>$H221="yes"</formula>
    </cfRule>
  </conditionalFormatting>
  <conditionalFormatting sqref="C222">
    <cfRule type="expression" dxfId="199" priority="296">
      <formula>#REF!=1</formula>
    </cfRule>
    <cfRule type="expression" dxfId="198" priority="297">
      <formula>$H221="yes"</formula>
    </cfRule>
  </conditionalFormatting>
  <conditionalFormatting sqref="C232:G234">
    <cfRule type="expression" dxfId="197" priority="300">
      <formula>#REF!=1</formula>
    </cfRule>
    <cfRule type="expression" dxfId="196" priority="301">
      <formula>$H231="yes"</formula>
    </cfRule>
  </conditionalFormatting>
  <conditionalFormatting sqref="C232:C234">
    <cfRule type="expression" dxfId="195" priority="306">
      <formula>#REF!=1</formula>
    </cfRule>
    <cfRule type="expression" dxfId="194" priority="307">
      <formula>$H231="yes"</formula>
    </cfRule>
  </conditionalFormatting>
  <conditionalFormatting sqref="C235:G235 B415:G415">
    <cfRule type="expression" dxfId="193" priority="310">
      <formula>#REF!=1</formula>
    </cfRule>
    <cfRule type="expression" dxfId="192" priority="311">
      <formula>$H236="yes"</formula>
    </cfRule>
  </conditionalFormatting>
  <conditionalFormatting sqref="C235 C415">
    <cfRule type="expression" dxfId="191" priority="316">
      <formula>#REF!=1</formula>
    </cfRule>
    <cfRule type="expression" dxfId="190" priority="317">
      <formula>$H236="yes"</formula>
    </cfRule>
  </conditionalFormatting>
  <conditionalFormatting sqref="C238:G238">
    <cfRule type="expression" dxfId="189" priority="318">
      <formula>#REF!=1</formula>
    </cfRule>
    <cfRule type="expression" dxfId="188" priority="319">
      <formula>$H236="yes"</formula>
    </cfRule>
  </conditionalFormatting>
  <conditionalFormatting sqref="C238">
    <cfRule type="expression" dxfId="187" priority="320">
      <formula>#REF!=1</formula>
    </cfRule>
    <cfRule type="expression" dxfId="186" priority="321">
      <formula>$H236="yes"</formula>
    </cfRule>
  </conditionalFormatting>
  <conditionalFormatting sqref="C236:G236">
    <cfRule type="expression" dxfId="185" priority="324">
      <formula>#REF!=1</formula>
    </cfRule>
    <cfRule type="expression" dxfId="184" priority="325">
      <formula>$H238="yes"</formula>
    </cfRule>
  </conditionalFormatting>
  <conditionalFormatting sqref="C236">
    <cfRule type="expression" dxfId="183" priority="328">
      <formula>#REF!=1</formula>
    </cfRule>
    <cfRule type="expression" dxfId="182" priority="329">
      <formula>$H238="yes"</formula>
    </cfRule>
  </conditionalFormatting>
  <conditionalFormatting sqref="C237">
    <cfRule type="expression" dxfId="181" priority="173">
      <formula>#REF!=1</formula>
    </cfRule>
    <cfRule type="expression" dxfId="180" priority="174">
      <formula>$H237="yes"</formula>
    </cfRule>
  </conditionalFormatting>
  <conditionalFormatting sqref="C258">
    <cfRule type="expression" dxfId="179" priority="171">
      <formula>#REF!=1</formula>
    </cfRule>
    <cfRule type="expression" dxfId="178" priority="172">
      <formula>$H258="yes"</formula>
    </cfRule>
  </conditionalFormatting>
  <conditionalFormatting sqref="C279">
    <cfRule type="expression" dxfId="177" priority="169">
      <formula>#REF!=1</formula>
    </cfRule>
    <cfRule type="expression" dxfId="176" priority="170">
      <formula>$H279="yes"</formula>
    </cfRule>
  </conditionalFormatting>
  <conditionalFormatting sqref="H354 F729:F731">
    <cfRule type="expression" dxfId="175" priority="167">
      <formula>#REF!=1</formula>
    </cfRule>
    <cfRule type="expression" dxfId="174" priority="168">
      <formula>$H354="yes"</formula>
    </cfRule>
  </conditionalFormatting>
  <conditionalFormatting sqref="H375 B375:F375 H312 B312:F312">
    <cfRule type="expression" dxfId="173" priority="332">
      <formula>#REF!=1</formula>
    </cfRule>
    <cfRule type="expression" dxfId="172" priority="333">
      <formula>#REF!="yes"</formula>
    </cfRule>
  </conditionalFormatting>
  <conditionalFormatting sqref="C375 C312 C729:C731">
    <cfRule type="expression" dxfId="171" priority="338">
      <formula>#REF!=1</formula>
    </cfRule>
    <cfRule type="expression" dxfId="170" priority="339">
      <formula>#REF!="yes"</formula>
    </cfRule>
  </conditionalFormatting>
  <conditionalFormatting sqref="B402:F402">
    <cfRule type="expression" dxfId="169" priority="157">
      <formula>#REF!=1</formula>
    </cfRule>
    <cfRule type="expression" dxfId="168" priority="158">
      <formula>#REF!="yes"</formula>
    </cfRule>
  </conditionalFormatting>
  <conditionalFormatting sqref="C402">
    <cfRule type="expression" dxfId="167" priority="159">
      <formula>#REF!=1</formula>
    </cfRule>
    <cfRule type="expression" dxfId="166" priority="160">
      <formula>#REF!="yes"</formula>
    </cfRule>
  </conditionalFormatting>
  <conditionalFormatting sqref="B420:F420">
    <cfRule type="expression" dxfId="165" priority="153">
      <formula>#REF!=1</formula>
    </cfRule>
    <cfRule type="expression" dxfId="164" priority="154">
      <formula>#REF!="yes"</formula>
    </cfRule>
  </conditionalFormatting>
  <conditionalFormatting sqref="C420">
    <cfRule type="expression" dxfId="163" priority="155">
      <formula>#REF!=1</formula>
    </cfRule>
    <cfRule type="expression" dxfId="162" priority="156">
      <formula>#REF!="yes"</formula>
    </cfRule>
  </conditionalFormatting>
  <conditionalFormatting sqref="B416:G417">
    <cfRule type="expression" dxfId="161" priority="145">
      <formula>#REF!=1</formula>
    </cfRule>
    <cfRule type="expression" dxfId="160" priority="146">
      <formula>$H417="yes"</formula>
    </cfRule>
  </conditionalFormatting>
  <conditionalFormatting sqref="C416:C417">
    <cfRule type="expression" dxfId="159" priority="147">
      <formula>#REF!=1</formula>
    </cfRule>
    <cfRule type="expression" dxfId="158" priority="148">
      <formula>$H417="yes"</formula>
    </cfRule>
  </conditionalFormatting>
  <conditionalFormatting sqref="C428:C435">
    <cfRule type="expression" dxfId="157" priority="143">
      <formula>#REF!=1</formula>
    </cfRule>
    <cfRule type="expression" dxfId="156" priority="144">
      <formula>$J428="yes"</formula>
    </cfRule>
  </conditionalFormatting>
  <conditionalFormatting sqref="D428:D435">
    <cfRule type="expression" dxfId="155" priority="141">
      <formula>#REF!=1</formula>
    </cfRule>
    <cfRule type="expression" dxfId="154" priority="142">
      <formula>$J428="yes"</formula>
    </cfRule>
  </conditionalFormatting>
  <conditionalFormatting sqref="H437 B436:F436">
    <cfRule type="expression" dxfId="153" priority="137">
      <formula>#REF!=1</formula>
    </cfRule>
    <cfRule type="expression" dxfId="152" priority="138">
      <formula>#REF!="yes"</formula>
    </cfRule>
  </conditionalFormatting>
  <conditionalFormatting sqref="C436:C437">
    <cfRule type="expression" dxfId="151" priority="139">
      <formula>#REF!=1</formula>
    </cfRule>
    <cfRule type="expression" dxfId="150" priority="140">
      <formula>#REF!="yes"</formula>
    </cfRule>
  </conditionalFormatting>
  <conditionalFormatting sqref="C436:C437">
    <cfRule type="expression" dxfId="149" priority="342">
      <formula>#REF!=1</formula>
    </cfRule>
    <cfRule type="expression" dxfId="148" priority="343">
      <formula>$J437="yes"</formula>
    </cfRule>
  </conditionalFormatting>
  <conditionalFormatting sqref="D436:D437">
    <cfRule type="expression" dxfId="147" priority="346">
      <formula>#REF!=1</formula>
    </cfRule>
    <cfRule type="expression" dxfId="146" priority="347">
      <formula>$J437="yes"</formula>
    </cfRule>
  </conditionalFormatting>
  <conditionalFormatting sqref="B437:F437">
    <cfRule type="expression" dxfId="145" priority="135">
      <formula>#REF!=1</formula>
    </cfRule>
    <cfRule type="expression" dxfId="144" priority="136">
      <formula>#REF!="yes"</formula>
    </cfRule>
  </conditionalFormatting>
  <conditionalFormatting sqref="B443:F443">
    <cfRule type="expression" dxfId="143" priority="127">
      <formula>#REF!=1</formula>
    </cfRule>
    <cfRule type="expression" dxfId="142" priority="128">
      <formula>#REF!="yes"</formula>
    </cfRule>
  </conditionalFormatting>
  <conditionalFormatting sqref="C443">
    <cfRule type="expression" dxfId="141" priority="129">
      <formula>#REF!=1</formula>
    </cfRule>
    <cfRule type="expression" dxfId="140" priority="130">
      <formula>#REF!="yes"</formula>
    </cfRule>
  </conditionalFormatting>
  <conditionalFormatting sqref="C443">
    <cfRule type="expression" dxfId="139" priority="131">
      <formula>#REF!=1</formula>
    </cfRule>
    <cfRule type="expression" dxfId="138" priority="132">
      <formula>$J444="yes"</formula>
    </cfRule>
  </conditionalFormatting>
  <conditionalFormatting sqref="D443">
    <cfRule type="expression" dxfId="137" priority="133">
      <formula>#REF!=1</formula>
    </cfRule>
    <cfRule type="expression" dxfId="136" priority="134">
      <formula>$J444="yes"</formula>
    </cfRule>
  </conditionalFormatting>
  <conditionalFormatting sqref="B446:F446">
    <cfRule type="expression" dxfId="135" priority="119">
      <formula>#REF!=1</formula>
    </cfRule>
    <cfRule type="expression" dxfId="134" priority="120">
      <formula>#REF!="yes"</formula>
    </cfRule>
  </conditionalFormatting>
  <conditionalFormatting sqref="C446">
    <cfRule type="expression" dxfId="133" priority="121">
      <formula>#REF!=1</formula>
    </cfRule>
    <cfRule type="expression" dxfId="132" priority="122">
      <formula>#REF!="yes"</formula>
    </cfRule>
  </conditionalFormatting>
  <conditionalFormatting sqref="C446">
    <cfRule type="expression" dxfId="131" priority="123">
      <formula>#REF!=1</formula>
    </cfRule>
    <cfRule type="expression" dxfId="130" priority="124">
      <formula>$J447="yes"</formula>
    </cfRule>
  </conditionalFormatting>
  <conditionalFormatting sqref="D446">
    <cfRule type="expression" dxfId="129" priority="125">
      <formula>#REF!=1</formula>
    </cfRule>
    <cfRule type="expression" dxfId="128" priority="126">
      <formula>$J447="yes"</formula>
    </cfRule>
  </conditionalFormatting>
  <conditionalFormatting sqref="B466:F466">
    <cfRule type="expression" dxfId="127" priority="111">
      <formula>#REF!=1</formula>
    </cfRule>
    <cfRule type="expression" dxfId="126" priority="112">
      <formula>#REF!="yes"</formula>
    </cfRule>
  </conditionalFormatting>
  <conditionalFormatting sqref="C466">
    <cfRule type="expression" dxfId="125" priority="113">
      <formula>#REF!=1</formula>
    </cfRule>
    <cfRule type="expression" dxfId="124" priority="114">
      <formula>#REF!="yes"</formula>
    </cfRule>
  </conditionalFormatting>
  <conditionalFormatting sqref="C466">
    <cfRule type="expression" dxfId="123" priority="115">
      <formula>#REF!=1</formula>
    </cfRule>
    <cfRule type="expression" dxfId="122" priority="116">
      <formula>$J467="yes"</formula>
    </cfRule>
  </conditionalFormatting>
  <conditionalFormatting sqref="D466">
    <cfRule type="expression" dxfId="121" priority="117">
      <formula>#REF!=1</formula>
    </cfRule>
    <cfRule type="expression" dxfId="120" priority="118">
      <formula>$J467="yes"</formula>
    </cfRule>
  </conditionalFormatting>
  <conditionalFormatting sqref="B485:F485">
    <cfRule type="expression" dxfId="119" priority="107">
      <formula>#REF!=1</formula>
    </cfRule>
    <cfRule type="expression" dxfId="118" priority="108">
      <formula>#REF!="yes"</formula>
    </cfRule>
  </conditionalFormatting>
  <conditionalFormatting sqref="C485">
    <cfRule type="expression" dxfId="117" priority="109">
      <formula>#REF!=1</formula>
    </cfRule>
    <cfRule type="expression" dxfId="116" priority="110">
      <formula>#REF!="yes"</formula>
    </cfRule>
  </conditionalFormatting>
  <conditionalFormatting sqref="B504:F504">
    <cfRule type="expression" dxfId="115" priority="103">
      <formula>#REF!=1</formula>
    </cfRule>
    <cfRule type="expression" dxfId="114" priority="104">
      <formula>#REF!="yes"</formula>
    </cfRule>
  </conditionalFormatting>
  <conditionalFormatting sqref="C504">
    <cfRule type="expression" dxfId="113" priority="105">
      <formula>#REF!=1</formula>
    </cfRule>
    <cfRule type="expression" dxfId="112" priority="106">
      <formula>#REF!="yes"</formula>
    </cfRule>
  </conditionalFormatting>
  <conditionalFormatting sqref="B511:F511">
    <cfRule type="expression" dxfId="111" priority="99">
      <formula>#REF!=1</formula>
    </cfRule>
    <cfRule type="expression" dxfId="110" priority="100">
      <formula>#REF!="yes"</formula>
    </cfRule>
  </conditionalFormatting>
  <conditionalFormatting sqref="C511">
    <cfRule type="expression" dxfId="109" priority="101">
      <formula>#REF!=1</formula>
    </cfRule>
    <cfRule type="expression" dxfId="108" priority="102">
      <formula>#REF!="yes"</formula>
    </cfRule>
  </conditionalFormatting>
  <conditionalFormatting sqref="B524:F524">
    <cfRule type="expression" dxfId="107" priority="95">
      <formula>#REF!=1</formula>
    </cfRule>
    <cfRule type="expression" dxfId="106" priority="96">
      <formula>#REF!="yes"</formula>
    </cfRule>
  </conditionalFormatting>
  <conditionalFormatting sqref="C524">
    <cfRule type="expression" dxfId="105" priority="97">
      <formula>#REF!=1</formula>
    </cfRule>
    <cfRule type="expression" dxfId="104" priority="98">
      <formula>#REF!="yes"</formula>
    </cfRule>
  </conditionalFormatting>
  <conditionalFormatting sqref="C538">
    <cfRule type="expression" dxfId="103" priority="350">
      <formula>#REF!=1</formula>
    </cfRule>
    <cfRule type="expression" dxfId="102" priority="351">
      <formula>$H537="yes"</formula>
    </cfRule>
  </conditionalFormatting>
  <conditionalFormatting sqref="C538">
    <cfRule type="expression" dxfId="101" priority="358">
      <formula>#REF!=1</formula>
    </cfRule>
    <cfRule type="expression" dxfId="100" priority="359">
      <formula>$H537="yes"</formula>
    </cfRule>
  </conditionalFormatting>
  <conditionalFormatting sqref="H552 B552:F552">
    <cfRule type="expression" dxfId="99" priority="91">
      <formula>#REF!=1</formula>
    </cfRule>
    <cfRule type="expression" dxfId="98" priority="92">
      <formula>#REF!="yes"</formula>
    </cfRule>
  </conditionalFormatting>
  <conditionalFormatting sqref="C552">
    <cfRule type="expression" dxfId="97" priority="93">
      <formula>#REF!=1</formula>
    </cfRule>
    <cfRule type="expression" dxfId="96" priority="94">
      <formula>#REF!="yes"</formula>
    </cfRule>
  </conditionalFormatting>
  <conditionalFormatting sqref="H558 B558:F558">
    <cfRule type="expression" dxfId="95" priority="87">
      <formula>#REF!=1</formula>
    </cfRule>
    <cfRule type="expression" dxfId="94" priority="88">
      <formula>#REF!="yes"</formula>
    </cfRule>
  </conditionalFormatting>
  <conditionalFormatting sqref="C558">
    <cfRule type="expression" dxfId="93" priority="89">
      <formula>#REF!=1</formula>
    </cfRule>
    <cfRule type="expression" dxfId="92" priority="90">
      <formula>#REF!="yes"</formula>
    </cfRule>
  </conditionalFormatting>
  <conditionalFormatting sqref="C376:F376 H389 B389:F389 B443 E443:F443 H443 B446 E446:F446 H446 B466 E466:F466 H466 C132:F132">
    <cfRule type="expression" dxfId="91" priority="360">
      <formula>#REF!=1</formula>
    </cfRule>
    <cfRule type="expression" dxfId="90" priority="361">
      <formula>#REF!="yes"</formula>
    </cfRule>
  </conditionalFormatting>
  <conditionalFormatting sqref="C376 C389 C132">
    <cfRule type="expression" dxfId="89" priority="364">
      <formula>#REF!=1</formula>
    </cfRule>
    <cfRule type="expression" dxfId="88" priority="365">
      <formula>#REF!="yes"</formula>
    </cfRule>
  </conditionalFormatting>
  <conditionalFormatting sqref="H132">
    <cfRule type="expression" dxfId="87" priority="368">
      <formula>#REF!=1</formula>
    </cfRule>
    <cfRule type="expression" dxfId="86" priority="369">
      <formula>$H131="yes"</formula>
    </cfRule>
  </conditionalFormatting>
  <conditionalFormatting sqref="C549:F549">
    <cfRule type="expression" dxfId="85" priority="83">
      <formula>#REF!=1</formula>
    </cfRule>
    <cfRule type="expression" dxfId="84" priority="84">
      <formula>$H549="yes"</formula>
    </cfRule>
  </conditionalFormatting>
  <conditionalFormatting sqref="B588:F588">
    <cfRule type="expression" dxfId="83" priority="79">
      <formula>#REF!=1</formula>
    </cfRule>
    <cfRule type="expression" dxfId="82" priority="80">
      <formula>#REF!="yes"</formula>
    </cfRule>
  </conditionalFormatting>
  <conditionalFormatting sqref="C588">
    <cfRule type="expression" dxfId="81" priority="81">
      <formula>#REF!=1</formula>
    </cfRule>
    <cfRule type="expression" dxfId="80" priority="82">
      <formula>#REF!="yes"</formula>
    </cfRule>
  </conditionalFormatting>
  <conditionalFormatting sqref="B598:F598">
    <cfRule type="expression" dxfId="79" priority="75">
      <formula>#REF!=1</formula>
    </cfRule>
    <cfRule type="expression" dxfId="78" priority="76">
      <formula>#REF!="yes"</formula>
    </cfRule>
  </conditionalFormatting>
  <conditionalFormatting sqref="C598">
    <cfRule type="expression" dxfId="77" priority="77">
      <formula>#REF!=1</formula>
    </cfRule>
    <cfRule type="expression" dxfId="76" priority="78">
      <formula>#REF!="yes"</formula>
    </cfRule>
  </conditionalFormatting>
  <conditionalFormatting sqref="B615:E615">
    <cfRule type="expression" dxfId="75" priority="71">
      <formula>#REF!=1</formula>
    </cfRule>
    <cfRule type="expression" dxfId="74" priority="72">
      <formula>#REF!="yes"</formula>
    </cfRule>
  </conditionalFormatting>
  <conditionalFormatting sqref="C615">
    <cfRule type="expression" dxfId="73" priority="73">
      <formula>#REF!=1</formula>
    </cfRule>
    <cfRule type="expression" dxfId="72" priority="74">
      <formula>#REF!="yes"</formula>
    </cfRule>
  </conditionalFormatting>
  <conditionalFormatting sqref="C549">
    <cfRule type="expression" dxfId="71" priority="69">
      <formula>#REF!=1</formula>
    </cfRule>
    <cfRule type="expression" dxfId="70" priority="70">
      <formula>$H549="yes"</formula>
    </cfRule>
  </conditionalFormatting>
  <conditionalFormatting sqref="B549">
    <cfRule type="expression" dxfId="69" priority="67">
      <formula>#REF!=1</formula>
    </cfRule>
    <cfRule type="expression" dxfId="68" priority="68">
      <formula>$H549="yes"</formula>
    </cfRule>
  </conditionalFormatting>
  <conditionalFormatting sqref="C616">
    <cfRule type="expression" dxfId="67" priority="63">
      <formula>#REF!=1</formula>
    </cfRule>
    <cfRule type="expression" dxfId="66" priority="64">
      <formula>$H617="yes"</formula>
    </cfRule>
  </conditionalFormatting>
  <conditionalFormatting sqref="C616">
    <cfRule type="expression" dxfId="65" priority="65">
      <formula>#REF!=1</formula>
    </cfRule>
    <cfRule type="expression" dxfId="64" priority="66">
      <formula>$H617="yes"</formula>
    </cfRule>
  </conditionalFormatting>
  <conditionalFormatting sqref="B637:F637">
    <cfRule type="expression" dxfId="63" priority="59">
      <formula>#REF!=1</formula>
    </cfRule>
    <cfRule type="expression" dxfId="62" priority="60">
      <formula>#REF!="yes"</formula>
    </cfRule>
  </conditionalFormatting>
  <conditionalFormatting sqref="C637">
    <cfRule type="expression" dxfId="61" priority="61">
      <formula>#REF!=1</formula>
    </cfRule>
    <cfRule type="expression" dxfId="60" priority="62">
      <formula>#REF!="yes"</formula>
    </cfRule>
  </conditionalFormatting>
  <conditionalFormatting sqref="B638:G638">
    <cfRule type="expression" dxfId="59" priority="55">
      <formula>#REF!=1</formula>
    </cfRule>
    <cfRule type="expression" dxfId="58" priority="56">
      <formula>$H638="yes"</formula>
    </cfRule>
  </conditionalFormatting>
  <conditionalFormatting sqref="C638">
    <cfRule type="expression" dxfId="57" priority="57">
      <formula>#REF!=1</formula>
    </cfRule>
    <cfRule type="expression" dxfId="56" priority="58">
      <formula>$H638="yes"</formula>
    </cfRule>
  </conditionalFormatting>
  <conditionalFormatting sqref="B630:F630">
    <cfRule type="expression" dxfId="55" priority="51">
      <formula>#REF!=1</formula>
    </cfRule>
    <cfRule type="expression" dxfId="54" priority="52">
      <formula>#REF!="yes"</formula>
    </cfRule>
  </conditionalFormatting>
  <conditionalFormatting sqref="C630">
    <cfRule type="expression" dxfId="53" priority="53">
      <formula>#REF!=1</formula>
    </cfRule>
    <cfRule type="expression" dxfId="52" priority="54">
      <formula>#REF!="yes"</formula>
    </cfRule>
  </conditionalFormatting>
  <conditionalFormatting sqref="B641:G641">
    <cfRule type="expression" dxfId="51" priority="47">
      <formula>#REF!=1</formula>
    </cfRule>
    <cfRule type="expression" dxfId="50" priority="48">
      <formula>$H641="yes"</formula>
    </cfRule>
  </conditionalFormatting>
  <conditionalFormatting sqref="C641">
    <cfRule type="expression" dxfId="49" priority="49">
      <formula>#REF!=1</formula>
    </cfRule>
    <cfRule type="expression" dxfId="48" priority="50">
      <formula>$H641="yes"</formula>
    </cfRule>
  </conditionalFormatting>
  <conditionalFormatting sqref="C651 C644:C647 C649 C653 C655:C658">
    <cfRule type="expression" dxfId="47" priority="45">
      <formula>#REF!=1</formula>
    </cfRule>
    <cfRule type="expression" dxfId="46" priority="46">
      <formula>#REF!="yes"</formula>
    </cfRule>
  </conditionalFormatting>
  <conditionalFormatting sqref="C642">
    <cfRule type="expression" dxfId="45" priority="43">
      <formula>#REF!=1</formula>
    </cfRule>
    <cfRule type="expression" dxfId="44" priority="44">
      <formula>#REF!="yes"</formula>
    </cfRule>
  </conditionalFormatting>
  <conditionalFormatting sqref="C643">
    <cfRule type="expression" dxfId="43" priority="41">
      <formula>#REF!=1</formula>
    </cfRule>
    <cfRule type="expression" dxfId="42" priority="42">
      <formula>#REF!="yes"</formula>
    </cfRule>
  </conditionalFormatting>
  <conditionalFormatting sqref="C648">
    <cfRule type="expression" dxfId="41" priority="39">
      <formula>#REF!=1</formula>
    </cfRule>
    <cfRule type="expression" dxfId="40" priority="40">
      <formula>#REF!="yes"</formula>
    </cfRule>
  </conditionalFormatting>
  <conditionalFormatting sqref="B652:F652">
    <cfRule type="expression" dxfId="39" priority="35">
      <formula>#REF!=1</formula>
    </cfRule>
    <cfRule type="expression" dxfId="38" priority="36">
      <formula>#REF!="yes"</formula>
    </cfRule>
  </conditionalFormatting>
  <conditionalFormatting sqref="C652">
    <cfRule type="expression" dxfId="37" priority="37">
      <formula>#REF!=1</formula>
    </cfRule>
    <cfRule type="expression" dxfId="36" priority="38">
      <formula>#REF!="yes"</formula>
    </cfRule>
  </conditionalFormatting>
  <conditionalFormatting sqref="D655:G656">
    <cfRule type="expression" dxfId="35" priority="372">
      <formula>#REF!=1</formula>
    </cfRule>
    <cfRule type="expression" dxfId="34" priority="373">
      <formula>$H654="yes"</formula>
    </cfRule>
  </conditionalFormatting>
  <conditionalFormatting sqref="D654:G654">
    <cfRule type="expression" dxfId="33" priority="31">
      <formula>#REF!=1</formula>
    </cfRule>
    <cfRule type="expression" dxfId="32" priority="32">
      <formula>$H654="yes"</formula>
    </cfRule>
  </conditionalFormatting>
  <conditionalFormatting sqref="C654">
    <cfRule type="expression" dxfId="31" priority="29">
      <formula>#REF!=1</formula>
    </cfRule>
    <cfRule type="expression" dxfId="30" priority="30">
      <formula>#REF!="yes"</formula>
    </cfRule>
  </conditionalFormatting>
  <conditionalFormatting sqref="C659">
    <cfRule type="expression" dxfId="29" priority="27">
      <formula>#REF!=1</formula>
    </cfRule>
    <cfRule type="expression" dxfId="28" priority="28">
      <formula>#REF!="yes"</formula>
    </cfRule>
  </conditionalFormatting>
  <conditionalFormatting sqref="F615">
    <cfRule type="expression" dxfId="27" priority="25">
      <formula>#REF!=1</formula>
    </cfRule>
    <cfRule type="expression" dxfId="26" priority="26">
      <formula>$H615="yes"</formula>
    </cfRule>
  </conditionalFormatting>
  <conditionalFormatting sqref="B751:E751">
    <cfRule type="expression" dxfId="25" priority="15">
      <formula>#REF!=1</formula>
    </cfRule>
    <cfRule type="expression" dxfId="24" priority="16">
      <formula>#REF!="yes"</formula>
    </cfRule>
  </conditionalFormatting>
  <conditionalFormatting sqref="F751">
    <cfRule type="expression" dxfId="23" priority="13">
      <formula>#REF!=1</formula>
    </cfRule>
    <cfRule type="expression" dxfId="22" priority="14">
      <formula>$H751="yes"</formula>
    </cfRule>
  </conditionalFormatting>
  <conditionalFormatting sqref="C751">
    <cfRule type="expression" dxfId="21" priority="17">
      <formula>#REF!=1</formula>
    </cfRule>
    <cfRule type="expression" dxfId="20" priority="18">
      <formula>#REF!="yes"</formula>
    </cfRule>
  </conditionalFormatting>
  <conditionalFormatting sqref="B682:F682">
    <cfRule type="expression" dxfId="19" priority="9">
      <formula>#REF!=1</formula>
    </cfRule>
    <cfRule type="expression" dxfId="18" priority="10">
      <formula>#REF!="yes"</formula>
    </cfRule>
  </conditionalFormatting>
  <conditionalFormatting sqref="C682">
    <cfRule type="expression" dxfId="17" priority="11">
      <formula>#REF!=1</formula>
    </cfRule>
    <cfRule type="expression" dxfId="16" priority="12">
      <formula>#REF!="yes"</formula>
    </cfRule>
  </conditionalFormatting>
  <conditionalFormatting sqref="B813">
    <cfRule type="expression" dxfId="15" priority="7">
      <formula>#REF!=1</formula>
    </cfRule>
    <cfRule type="expression" dxfId="14" priority="8">
      <formula>$H813="yes"</formula>
    </cfRule>
  </conditionalFormatting>
  <conditionalFormatting sqref="B851">
    <cfRule type="expression" dxfId="13" priority="3">
      <formula>#REF!=1</formula>
    </cfRule>
    <cfRule type="expression" dxfId="12" priority="4">
      <formula>$H851="yes"</formula>
    </cfRule>
  </conditionalFormatting>
  <conditionalFormatting sqref="B864">
    <cfRule type="expression" dxfId="11" priority="1">
      <formula>#REF!=1</formula>
    </cfRule>
    <cfRule type="expression" dxfId="10" priority="2">
      <formula>$H864="yes"</formula>
    </cfRule>
  </conditionalFormatting>
  <dataValidations count="9">
    <dataValidation allowBlank="1" showInputMessage="1" showErrorMessage="1" prompt="A flag icon in this column indicates items in the inventory list that are ready to be reordered. Flag icons only appear when a Yes is selected in E3 and the item meets the reorder criteria" sqref="A5"/>
    <dataValidation allowBlank="1" showInputMessage="1" showErrorMessage="1" prompt="Enter the item inventory ID in this column" sqref="B5"/>
    <dataValidation allowBlank="1" showInputMessage="1" showErrorMessage="1" prompt="Enter the name of the item in this column" sqref="C5"/>
    <dataValidation allowBlank="1" showInputMessage="1" showErrorMessage="1" prompt="Enter the unit price of each item in this column" sqref="D5:E5"/>
    <dataValidation allowBlank="1" showInputMessage="1" showErrorMessage="1" prompt="Enter the quantity in stock for each item in this column" sqref="F5"/>
    <dataValidation allowBlank="1" showInputMessage="1" showErrorMessage="1" prompt="The inventory value for each item is automatically calculated in this column" sqref="G5"/>
    <dataValidation allowBlank="1" showInputMessage="1" showErrorMessage="1" prompt="Enter yes if the item has been discontinued. When a yes is entered, the corresponding row is highlighted a light grey and the font style changed to strikethrough" sqref="H5"/>
    <dataValidation allowBlank="1" showInputMessage="1" showErrorMessage="1" prompt="This worksheet tracks inventory for items listed in the inventory list table and contains the ability to highlight and flag those items that are ready to be reordered. Discontinued items have light brown fill and a Yes in the Discontinued column" sqref="A1"/>
    <dataValidation errorStyle="information" allowBlank="1" showInputMessage="1" error="Only an input of Yes will highlight items to reorder" prompt="Selecting Yes from the dropdown in cell E3 will highlight rows and place a flag icon in Column B of the inventory list table to indicate items that are ready to be reordered" sqref="B3"/>
  </dataValidations>
  <printOptions horizontalCentered="1"/>
  <pageMargins left="0.25" right="0.25" top="0.75" bottom="0.75" header="0.05" footer="0.3"/>
  <pageSetup scale="56" fitToHeight="0" orientation="portrait"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8B6233-D648-4BFB-B766-96BACA8EB1AA}">
  <ds:schemaRefs>
    <ds:schemaRef ds:uri="http://schemas.microsoft.com/sharepoint/v3"/>
    <ds:schemaRef ds:uri="230e9df3-be65-4c73-a93b-d1236ebd677e"/>
    <ds:schemaRef ds:uri="http://purl.org/dc/terms/"/>
    <ds:schemaRef ds:uri="http://schemas.openxmlformats.org/package/2006/metadata/core-properties"/>
    <ds:schemaRef ds:uri="16c05727-aa75-4e4a-9b5f-8a80a1165891"/>
    <ds:schemaRef ds:uri="http://purl.org/dc/dcmitype/"/>
    <ds:schemaRef ds:uri="http://schemas.microsoft.com/office/2006/documentManagement/types"/>
    <ds:schemaRef ds:uri="http://schemas.microsoft.com/office/infopath/2007/PartnerControls"/>
    <ds:schemaRef ds:uri="http://purl.org/dc/elements/1.1/"/>
    <ds:schemaRef ds:uri="http://schemas.microsoft.com/office/2006/metadata/properties"/>
    <ds:schemaRef ds:uri="71af3243-3dd4-4a8d-8c0d-dd76da1f02a5"/>
    <ds:schemaRef ds:uri="http://www.w3.org/XML/1998/namespace"/>
  </ds:schemaRefs>
</ds:datastoreItem>
</file>

<file path=customXml/itemProps2.xml><?xml version="1.0" encoding="utf-8"?>
<ds:datastoreItem xmlns:ds="http://schemas.openxmlformats.org/officeDocument/2006/customXml" ds:itemID="{24526D72-D4E7-46D8-A414-A78981229D3F}">
  <ds:schemaRefs>
    <ds:schemaRef ds:uri="http://schemas.microsoft.com/sharepoint/v3/contenttype/forms"/>
  </ds:schemaRefs>
</ds:datastoreItem>
</file>

<file path=customXml/itemProps3.xml><?xml version="1.0" encoding="utf-8"?>
<ds:datastoreItem xmlns:ds="http://schemas.openxmlformats.org/officeDocument/2006/customXml" ds:itemID="{AB283E77-2264-47B9-94AE-7B3A03782C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TM02802349</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 list</vt:lpstr>
      <vt:lpstr>'Inventory list'!Print_Titles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cp:lastPrinted>2025-01-15T11:08:14Z</cp:lastPrinted>
  <dcterms:created xsi:type="dcterms:W3CDTF">2023-09-08T12:04:19Z</dcterms:created>
  <dcterms:modified xsi:type="dcterms:W3CDTF">2025-08-25T12:21:54Z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